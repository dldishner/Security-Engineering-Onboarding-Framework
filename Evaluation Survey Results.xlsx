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dishn\Downloads\"/>
    </mc:Choice>
  </mc:AlternateContent>
  <xr:revisionPtr revIDLastSave="0" documentId="13_ncr:1_{DF71A184-82F3-4BC2-9631-92EDBF72648B}" xr6:coauthVersionLast="47" xr6:coauthVersionMax="47" xr10:uidLastSave="{00000000-0000-0000-0000-000000000000}"/>
  <bookViews>
    <workbookView xWindow="-120" yWindow="-120" windowWidth="38640" windowHeight="2112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K22" i="1" l="1"/>
  <c r="AK23" i="1"/>
  <c r="AK24" i="1"/>
  <c r="AK25" i="1"/>
  <c r="AK21" i="1"/>
  <c r="I22" i="1"/>
  <c r="J22" i="1"/>
  <c r="K22" i="1"/>
  <c r="L22" i="1"/>
  <c r="O22" i="1"/>
  <c r="P22" i="1"/>
  <c r="Q22" i="1"/>
  <c r="R22" i="1"/>
  <c r="U22" i="1"/>
  <c r="V22" i="1"/>
  <c r="W22" i="1"/>
  <c r="X22" i="1"/>
  <c r="AA22" i="1"/>
  <c r="AB22" i="1"/>
  <c r="AC22" i="1"/>
  <c r="AD22" i="1"/>
  <c r="AG22" i="1"/>
  <c r="AH22" i="1"/>
  <c r="AI22" i="1"/>
  <c r="AJ22" i="1"/>
  <c r="I23" i="1"/>
  <c r="J23" i="1"/>
  <c r="K23" i="1"/>
  <c r="L23" i="1"/>
  <c r="O23" i="1"/>
  <c r="P23" i="1"/>
  <c r="Q23" i="1"/>
  <c r="R23" i="1"/>
  <c r="U23" i="1"/>
  <c r="V23" i="1"/>
  <c r="W23" i="1"/>
  <c r="X23" i="1"/>
  <c r="AA23" i="1"/>
  <c r="AB23" i="1"/>
  <c r="AC23" i="1"/>
  <c r="AD23" i="1"/>
  <c r="AG23" i="1"/>
  <c r="AH23" i="1"/>
  <c r="AI23" i="1"/>
  <c r="AJ23" i="1"/>
  <c r="I24" i="1"/>
  <c r="J24" i="1"/>
  <c r="K24" i="1"/>
  <c r="L24" i="1"/>
  <c r="O24" i="1"/>
  <c r="P24" i="1"/>
  <c r="Q24" i="1"/>
  <c r="R24" i="1"/>
  <c r="U24" i="1"/>
  <c r="V24" i="1"/>
  <c r="W24" i="1"/>
  <c r="X24" i="1"/>
  <c r="AA24" i="1"/>
  <c r="AB24" i="1"/>
  <c r="AC24" i="1"/>
  <c r="AD24" i="1"/>
  <c r="AG24" i="1"/>
  <c r="AH24" i="1"/>
  <c r="AI24" i="1"/>
  <c r="AJ24" i="1"/>
  <c r="I25" i="1"/>
  <c r="J25" i="1"/>
  <c r="K25" i="1"/>
  <c r="L25" i="1"/>
  <c r="O25" i="1"/>
  <c r="P25" i="1"/>
  <c r="Q25" i="1"/>
  <c r="R25" i="1"/>
  <c r="U25" i="1"/>
  <c r="V25" i="1"/>
  <c r="W25" i="1"/>
  <c r="X25" i="1"/>
  <c r="AA25" i="1"/>
  <c r="AB25" i="1"/>
  <c r="AC25" i="1"/>
  <c r="AD25" i="1"/>
  <c r="AG25" i="1"/>
  <c r="AH25" i="1"/>
  <c r="AI25" i="1"/>
  <c r="AJ25" i="1"/>
  <c r="J21" i="1"/>
  <c r="K21" i="1"/>
  <c r="L21" i="1"/>
  <c r="O21" i="1"/>
  <c r="P21" i="1"/>
  <c r="Q21" i="1"/>
  <c r="R21" i="1"/>
  <c r="U21" i="1"/>
  <c r="V21" i="1"/>
  <c r="W21" i="1"/>
  <c r="X21" i="1"/>
  <c r="AA21" i="1"/>
  <c r="AB21" i="1"/>
  <c r="AC21" i="1"/>
  <c r="AD21" i="1"/>
  <c r="AG21" i="1"/>
  <c r="AH21" i="1"/>
  <c r="AI21" i="1"/>
  <c r="AJ21" i="1"/>
  <c r="I21" i="1"/>
</calcChain>
</file>

<file path=xl/sharedStrings.xml><?xml version="1.0" encoding="utf-8"?>
<sst xmlns="http://schemas.openxmlformats.org/spreadsheetml/2006/main" count="578" uniqueCount="173">
  <si>
    <t>ID</t>
  </si>
  <si>
    <t>Start time</t>
  </si>
  <si>
    <t>Completion time</t>
  </si>
  <si>
    <t>Email</t>
  </si>
  <si>
    <t>Name</t>
  </si>
  <si>
    <t>Last modified time</t>
  </si>
  <si>
    <t>Please enter your name. Note: This is only used for tracking who has responded to the survey. All responses are aggregated in the final analysis and will not be attributed to any individual.</t>
  </si>
  <si>
    <t>Which of these roles do you identify as?</t>
  </si>
  <si>
    <t>Role definition usefulness: The role definition elements (e.g., responsibilities, key systems, competencies) would help organizations clearly define Security Engineering roles.</t>
  </si>
  <si>
    <t>Decision boundaries: The Traffic Light Model for capability boundaries (Green/Yellow/Red) would help organizations clearly communicate what tasks a new hire can perform independently versus with s...</t>
  </si>
  <si>
    <t>Milestone expectations: The 30/60/90-day milestones would help organizations set clear expectations for early performance and progress.</t>
  </si>
  <si>
    <t>Reduction in ambiguity: Overall, this framework would reduce ambiguity about what a Security Engineer is expected to do during their first 90 days.</t>
  </si>
  <si>
    <t>In your view, which parts of the framework would be most effective at improving role clarity for new Security Engineers?</t>
  </si>
  <si>
    <t>Where, if anywhere, would organizations still need additional guidance to fully clarify roles?</t>
  </si>
  <si>
    <t>Early safe tasks: The Traffic Light Model for capability boundaries (Green/Yellow/Red) would help organizations assign early work that is both safe and confidence building.</t>
  </si>
  <si>
    <t>Access and provisioning: The access and system provisioning guidance would help organizations reduce delays and confusion in getting new hires the tools they need to start contributing.</t>
  </si>
  <si>
    <t>Policy and governance grounding: The policy and compliance training structure would help organizations prepare new hires to make decisions that align with governance and audit expectations.</t>
  </si>
  <si>
    <t>Escalation and decision authority: The decision authority and escalation boundaries would help organizations teach new hires when to act independently and when to escalate.</t>
  </si>
  <si>
    <t>Which components of the framework do you believe would most improve a new hire's readiness to perform real tasks in a secure way?</t>
  </si>
  <si>
    <t>What additional elements (if any) would you recommend to further support task readiness?</t>
  </si>
  <si>
    <t>Reduced ramp-up friction:  This framework would reduce common onboarding friction points (e.g., chasing access, unclear next steps).</t>
  </si>
  <si>
    <t>Structured sequencing: The way activities are sequenced (pre-arrival, first week, 30/60/90-days) would help organizations create a smoother, more predictable onboarding experience.</t>
  </si>
  <si>
    <t>Use of templates: The templates and Traffic Light Model for capability boundaries (Green/Yellow/Red) would help organizations standardize onboarding and reduce ad hoc work.</t>
  </si>
  <si>
    <t>Reduction of tribal knowledge dependency: The knowledge infrastructure and documentation guidance would reduce reliance on tribal knowledge for getting new hires productive.</t>
  </si>
  <si>
    <t>In your judgement, which parts of the framework would most improve onboarding efficiency if implemented?</t>
  </si>
  <si>
    <t>Where (if anywhere) might organizations still experience inefficiencies, even with this framework in place? </t>
  </si>
  <si>
    <t>Impact on time-to-effectiveness: This framework would likely reduce time-to-effectiveness for Security Engineers compared to typical ad hoc onboarding.</t>
  </si>
  <si>
    <t>Adaptability across organizations: The framework is adaptable enough to be used by different organizations with varying architectures and maturity levels.</t>
  </si>
  <si>
    <t>Implementation practicality: The level of effort required to implement and maintain this framework is reasonable given the potential benefits.</t>
  </si>
  <si>
    <t>Repeatability and governance: The framework provides enough structure for organizations to create a repeatable, governed onboarding process rather than a one-off effort.</t>
  </si>
  <si>
    <t>Which sections of the framework do you believe would have the greatest impact on improving onboarding outcomes if implemented?</t>
  </si>
  <si>
    <t>What changes or additions (if any) would you recommend before an organization adopts this framework?</t>
  </si>
  <si>
    <t>Conceptual distinction: The framework clearly differentiates between role clarity, task readiness, and onboarding efficiency.</t>
  </si>
  <si>
    <t>Structural coherence: The sections of the framework build on each other in a logical sequence that supports the onboarding process.</t>
  </si>
  <si>
    <t>Practical implementation: The framework is realistic for organizations to adopt and maintain.</t>
  </si>
  <si>
    <t>Appropriate level of detail: The framework provides enough specificity to be actionable without becoming overly prescriptive.</t>
  </si>
  <si>
    <t>anonymous</t>
  </si>
  <si>
    <t>New Hire Security Engineer;Senior Security Engineer;</t>
  </si>
  <si>
    <t>Agree</t>
  </si>
  <si>
    <t>Strongly Agree</t>
  </si>
  <si>
    <t xml:space="preserve">The Core Policy and Compliance training would definitely help set the stage for success and clarity for understanding the role for new security engineers. Having the structured mentorship in place would also be a very helpful part to strengthen what the expectations of the role are.  </t>
  </si>
  <si>
    <t xml:space="preserve">As always, it depends! But each organization would need to lay out all their applications and systems to determine more specific role clarification for each sub team/function. </t>
  </si>
  <si>
    <t xml:space="preserve">Likely the shadowing aspect and going through the processes allowed in the early safe tasks would be the most confidence building for a new hire. </t>
  </si>
  <si>
    <t xml:space="preserve">Maybe having a set of examples the new hire could review that lays out the details of the request, the thought process that went into the final decision and the actions taken for resolution/completion. </t>
  </si>
  <si>
    <t>I think the biggest would be Core Secuity and Compliance Training since it may differ from organization to organization.</t>
  </si>
  <si>
    <t xml:space="preserve">New Hire's willingness to learn, adapt and desire to be a productive member of the team. </t>
  </si>
  <si>
    <t xml:space="preserve">The measuring of performance at the different stages and a regular check in with the new hire to ensure they are on the right track. </t>
  </si>
  <si>
    <t>Other;</t>
  </si>
  <si>
    <t>The most effective parts would be the role definition elements, the Traffic Light Model for capability boundaries, and the 30/60/90-day milestones. Clearly defining responsibilities, key systems, and required competencies gives new Security Engineers a concrete understanding of their role. The Traffic Light Model helps remove uncertainty by showing which tasks can be done independently and which require supervision. The milestone structure is also very effective because it sets clear expectations for what the new hire should learn, demonstrate, and contribute during the first 90 days. Together, these parts provide structure, reduce ambiguity, and make onboarding more consistent and measurable.</t>
  </si>
  <si>
    <t>Organizations would likely still need additional guidance in tailoring the framework to specific Security Engineering roles and environments. While the framework clearly defines general responsibilities and expectations, role clarity could be improved further with examples for different specializations such as cloud security, detection engineering, identity security, or application security. Additional guidance may also be needed around organization-specific tools, escalation paths, decision-making authority, and how role expectations change after the first 90 days. In other words, the framework provides a strong structure, but organizations would still need to customize it to their own systems, workflows, and team model to fully clarify the role.</t>
  </si>
  <si>
    <t>The components that would most improve a new hire’s readiness to perform real tasks securely are the Traffic Light Model for capability boundaries, the access and provisioning guidance, the policy and governance grounding, and the escalation and decision authority structure. The Traffic Light Model is especially valuable because it helps new hires understand which tasks are safe to perform independently and which require oversight. Access and provisioning guidance ensures they have the right tools and permissions from the start without overprovisioning. Policy and governance grounding helps connect daily work to compliance, audit, and security expectations. Clear escalation and decision authority is also critical because it teaches new hires when to act on their own and when to seek review or approval, which reduces the risk of mistakes in high-impact situations.</t>
  </si>
  <si>
    <t>I would recommend adding role-specific example onboarding plans, scenario-based exercises, and a formal checklist for task signoff. Role-specific examples would help organizations translate the framework into practical expectations for areas such as cloud security, identity, detection, or application security. Scenario-based exercises or labs would give new hires a safe way to practice real decisions before handling live work. A formal signoff checklist for key tasks and access levels would also help managers verify readiness consistently. In addition, a defined review point after the first 90 days would be useful so organizations can clarify how responsibilities expand once the employee moves beyond initial onboarding.</t>
  </si>
  <si>
    <t>The parts of the framework that would most improve onboarding efficiency are the structured sequencing of activities, the access and provisioning guidance, the use of templates, and the knowledge infrastructure. Structured sequencing helps managers and new hires know what should happen before day one, during the first week, and across the 30/60/90-day period, which reduces delays and confusion. Access and provisioning guidance improves efficiency by getting new hires the right tools and permissions sooner. Templates and the Traffic Light Model help standardize onboarding so teams do not have to rebuild the process for each employee. The knowledge infrastructure is also especially important because it reduces time lost searching for information or relying on informal tribal knowledge.</t>
  </si>
  <si>
    <t>Organizations might still experience inefficiencies in areas that depend heavily on local customization, cross-team coordination, or documentation quality. For example, delays in access approvals, outdated internal documentation, unclear ownership of systems, or inconsistent mentor availability could still slow onboarding even with the framework in place. There may also be inefficiencies when applying the framework to highly specialized roles, because those roles often require additional organization-specific examples, labs, and tool-specific guidance. In that sense, the framework can reduce many common onboarding problems, but it cannot fully eliminate inefficiencies caused by broader operational or organizational gaps.</t>
  </si>
  <si>
    <t>The sections that would likely have the greatest impact on onboarding outcomes are the role definition section, the Traffic Light Model for capability boundaries, the 30/60/90-day milestone structure, and the knowledge infrastructure. The role definition section improves clarity from the start by defining responsibilities, competencies, and key systems. The Traffic Light Model has strong impact because it helps new hires understand where they can work independently and where oversight is needed, which improves both confidence and safety. The milestone structure strengthens accountability and progress tracking, while the knowledge infrastructure reduces dependence on tribal knowledge and makes onboarding more consistent across hires. Together, these sections would most directly improve time-to-effectiveness, role clarity, and readiness to perform work safely.</t>
  </si>
  <si>
    <t>Before adoption, I would recommend adding more role-specific examples, sample completed templates, and scenario-based exercises. The framework is strong at a structural level, but organizations would benefit from seeing how it applies to different Security Engineering specializations such as cloud security, identity, detection, or application security. I would also recommend adding clearer guidance for post-90-day progression so expectations do not become unclear once initial onboarding ends. Finally, it would help to define a small set of success metrics, such as time to access readiness, milestone completion rates, and time to independent task ownership, so organizations can evaluate whether the framework is working as intended.</t>
  </si>
  <si>
    <t>Capability boundaries and milestones.</t>
  </si>
  <si>
    <t>One-on-one systems review with each SME would be invaluable. These should include common case studies and ticket revisions as they are more practical in nature.</t>
  </si>
  <si>
    <t>Access rights are provisioned in accordance with the traffic light model.</t>
  </si>
  <si>
    <t>Picking up actual low risk, low priority tickets and working through them with a mentor and with the matrix, working up to higher risk tasks. Each first-time with a new risk level with a mentor is a must. The mentor in this case may be the manager/SME.</t>
  </si>
  <si>
    <t>All of it.</t>
  </si>
  <si>
    <t>Access &amp; System Provisioning</t>
  </si>
  <si>
    <t>Each process of the onboarding needs a way for the new hire to provide documented feedback, acknowledged by the mentor/manager.</t>
  </si>
  <si>
    <t>Neutral</t>
  </si>
  <si>
    <t>Senior Security Engineer;</t>
  </si>
  <si>
    <t>For role clarity the decision boundaries would be most effective as they outline what is required and where the limits are</t>
  </si>
  <si>
    <t>Newly created roles would need additional guidance, which may need to be updated as the role progresses</t>
  </si>
  <si>
    <t>Training and supervision are essential to complete tasks safely</t>
  </si>
  <si>
    <t>Outlining specific tools and external training options as relevant to each role</t>
  </si>
  <si>
    <t>Clear 30/60/90‑day milestones provide goals that can be measured for success</t>
  </si>
  <si>
    <t>Upstream dependencies can hold up the onboarding process e.g. waiting for approval or tasks from other teams</t>
  </si>
  <si>
    <t>Clearly defined milestones help provide structure to the new hire and allow management to measure success</t>
  </si>
  <si>
    <t>Milestones would need to be tailored to specific job roles and a feedback loop would be useful to make improvements</t>
  </si>
  <si>
    <t>The 30/60/90-Day milestones.</t>
  </si>
  <si>
    <t>The organization will need to tailor this to their specific environment as each one is so different.</t>
  </si>
  <si>
    <t>The Role Definition Template.</t>
  </si>
  <si>
    <t>30/60/90</t>
  </si>
  <si>
    <t>Capability boundaries.</t>
  </si>
  <si>
    <t>The role definition framework, it clearly demonstrates what is expected for the role they were hired to do.</t>
  </si>
  <si>
    <t>Decision boundaries with the traffic light model. I am sure something is going to be missing or possibly specific to each organization that would need to be incorporated into the model that wouldn't fit what another organization needs.</t>
  </si>
  <si>
    <t>Traffic light model and access/provisioning would improve their readiness in a secure way.</t>
  </si>
  <si>
    <t xml:space="preserve">No other elements necessary, any more would potentially add more confusion for a new hire since these are already covering everything a new would  need to support their readiness. </t>
  </si>
  <si>
    <t>Reduced ramp up time would be improved and the use of templates would identify and define a clear standardization for onboarding making it simpler for everyone.</t>
  </si>
  <si>
    <t>Reduction of tribal knowledge, there will always be some individuals who will be reluctant to make a decision without consulting with knowledgeable employees.</t>
  </si>
  <si>
    <t>Adaptability across organizations and repeatability and governance.</t>
  </si>
  <si>
    <t>Minor organization specific tweaks would be needed within certain categories, but for the most part it wouldn't need many changes.</t>
  </si>
  <si>
    <t>New Hire Security Engineer;</t>
  </si>
  <si>
    <t>The most important aspects of the framework are the role definition and milestone expectations. When entering a new role, quickly understanding the tasks to be undertaken, and the timeframe required to become familiar with them, is crucial. Having clear, achievable targets to guide the induction process also plays an important role in getting up to speed with how the team operates.</t>
  </si>
  <si>
    <t>Additional guidance may be needed to clarify role boundaries with adjacent teams.</t>
  </si>
  <si>
    <t>The early safe-task model, combined with clear escalation and decision‑making authority, would most improve a new hire’s readiness to perform real tasks.</t>
  </si>
  <si>
    <t>Task readiness could be further supported by practical, environment‑specific examples, including common use cases and up‑to‑date, detailed documentation.</t>
  </si>
  <si>
    <t>The structured onboarding timeline, combined with standardized templates and capability boundaries, would have the greatest impact on onboarding efficiency.</t>
  </si>
  <si>
    <t xml:space="preserve">Some inefficiencies may still arise from organization‑specific factors such as delayed access provisioning, dependencies on external teams, or variations in tooling and processes that sit outside the framework’s control. </t>
  </si>
  <si>
    <t xml:space="preserve">The role definition, structured onboarding milestones, and the early safe‑task model would have the greatest impact on improving onboarding outcomes. </t>
  </si>
  <si>
    <t>No changes to recommend at this time. The framework is well‑structured and sufficiently comprehensive.</t>
  </si>
  <si>
    <t>Other;Security Engineering Management;</t>
  </si>
  <si>
    <t>decision boundaries.</t>
  </si>
  <si>
    <t>is this question about other parts of the organization that interact with security engineers or are you referring to the security engineering organization? I see some value in communicating with projects and other groups about how the security organization works.</t>
  </si>
  <si>
    <t>I came from a highly regulated environment so I would focus on the policy and governance grounding.</t>
  </si>
  <si>
    <t>I think you need to benchmark the access and provisioning process before making recommendations to invest more time in this space. I bet if it is a problem for security engineers, then it probably is a larger problem for the organization at large.</t>
  </si>
  <si>
    <t>In this framework, it seems like the structured sequencing would have the most value.</t>
  </si>
  <si>
    <t>I think documenting the tribal knowledge is a different project than onboarding. It is tough to get experts to share their expertise or give up control of their expertise. I think this risk is even higher when employees are afraid of being replaced by AI.</t>
  </si>
  <si>
    <t>Strongly Disagree</t>
  </si>
  <si>
    <t>I think every organization has a different maturity level. I think the level of effort question versus the potential benefits question is unique to each organization (e.g., turn-over versus rate of effort for care and feeding of this system.)</t>
  </si>
  <si>
    <t>I think every organization has a different maturity level. This onboarding process assumes a mature process with documentation.
I think an organization needs to assess if their problem is with onboarding or if it is more fundamental (not using repeatable processes)</t>
  </si>
  <si>
    <t>Security Engineering Management;</t>
  </si>
  <si>
    <t xml:space="preserve">Having a role based framework for 30/60/90 would bring the biggest improvement - this will ensure that everyone hits the correct minimum baseline for being operational.
Having the structure documented will ensure that people and tasks required to meet the milestones can be held accountable. </t>
  </si>
  <si>
    <t xml:space="preserve">Roles may need to be tailored after an employee starts. 
For example we may hire someone to work on products XYZ, but find post-hire that they are experienced or express a desire to work in ABC.
While based upon, the role definition template, needs to be considered a separate artifact from the job description posted by recruitment. </t>
  </si>
  <si>
    <t xml:space="preserve">Access provisioning alongside task guidance  </t>
  </si>
  <si>
    <t>Whilst we cant be an SME in everything, nor do we want death by paperwork - the removal of tribal knowledge would be the biggest unblocker</t>
  </si>
  <si>
    <t>There needs to be a step where SMEs / management review and update documentation
The framework calls out for a review of the framework itself - but the underlying documentation needs to be kept current - e.g new features with product releases / moves to SAML for Auth / updates to named contacts etc</t>
  </si>
  <si>
    <t>Traffic lights for each SME technology - people can learn by doing - and only do what is safe</t>
  </si>
  <si>
    <t>None at this time - would need to implement and then reivew</t>
  </si>
  <si>
    <t>Having the role definition framework with the responsibilites and key systems clearly defined would be extremely helpful.</t>
  </si>
  <si>
    <t>Most organizations have a staffing problem that isn't really addressed by the framework.  This is more of an organizational issue as opposed to a framework problem.</t>
  </si>
  <si>
    <t>The foundational clarity is most important - it is the foundation and necessary for new hire to be able to actually have access to do real tasks, and this is where I've commonly seen issues in the past.</t>
  </si>
  <si>
    <t>Reduced ramp-up friction by focusing on pre-arrival logistics and access provisioning.</t>
  </si>
  <si>
    <t>Internal politics and tribal knowledge are likely to be issues, but difficult to resolve.</t>
  </si>
  <si>
    <t>Having detailed operational playbooks helps a new hire get up to speed quickly, and gives them a resource to reference without asking many questions</t>
  </si>
  <si>
    <t>I believe the issue doesn't lie with the actual job description; it is the actual implementation or execution of the job.  These definitions are not adhered to, and management tends to utilize the engineer in jobs and positions that were never aligned with the original job description.  This causes issues within the organization and with the engineer.</t>
  </si>
  <si>
    <t>Either make the job description more generic, or adhere to the description that defined the job duties and responsibility.</t>
  </si>
  <si>
    <t>Access and provisioning.  Normally, the hire should have soe background in the role they have been hired for.  The quicker the employee can be performing meaningful tasks for the enterprise, the better for both the employee and the organization.</t>
  </si>
  <si>
    <t>From a policy perspective, provide initial on-board training on the companies policies and standards that directly affect the new employee.  Additionally, training for any application that the new employee needs to perform their job duties should be part of the on-boarding process.  Specifically,  how the firm currently has the application deployed as well as any future thoughts on expansion or replacement.</t>
  </si>
  <si>
    <t>I believe the reduce ramp-up time and the 30/60/90 day evaluation is something that can easily increase efficiency.</t>
  </si>
  <si>
    <t>Tribal knowledge will always be a sticking point for any organization.  Specifically, the reason behind the current deployment.  The better this knowledge is documented, the better it would be for understanding the uniqueness of the organizations use of the application.</t>
  </si>
  <si>
    <t>Impact to on time -to-effectiveness.  Having a framework to work by will reduce the time a new employee sits idle.</t>
  </si>
  <si>
    <t>Clear definition of job responsibilities and duties, and management sticking to those tenants.</t>
  </si>
  <si>
    <t>The traffic light model provides the guidance for both new hires and the managers/team leaders to have clear indicator of the on-boarding phases, not by the fixed timeframe but the new hire's competence/learning status in expected responsibilities</t>
  </si>
  <si>
    <t>Still the traffic light model, it helps preventing immature job handling to new hire by set the clear boundaries among the responsibilities</t>
  </si>
  <si>
    <t>Access provisioning that integrated with the traffic light now. a clear guidance on when/what access is assigned during the difference phases of onboarding.</t>
  </si>
  <si>
    <t>The traffic light model</t>
  </si>
  <si>
    <t xml:space="preserve">30/60/90 day goals to be explicit and guide new engineers. </t>
  </si>
  <si>
    <t>You may also want to add some reference to partner teams and stakeholders that they will interface with. Understanding organizational boundaries and how to get work done across those is sometimes difficult to navigate.</t>
  </si>
  <si>
    <t>The traffic light framework provides a good set of tenets / tasks that are OK to assign at varying levels. This helps to improve the safety of operations.</t>
  </si>
  <si>
    <t>Perhaps links or documentation repositories (e.g., runbooks, internal tooling instructions, etc)</t>
  </si>
  <si>
    <t>30/60/90 day framework and traffic light framework</t>
  </si>
  <si>
    <t>I'm unsure right now</t>
  </si>
  <si>
    <t>Access for application / system onboarding list.</t>
  </si>
  <si>
    <t>The clarity around scope and responsibilities while clearly defining escalation protocols of purview change.</t>
  </si>
  <si>
    <t>Clear pathways on escalation and point-of-contacts for topics that they may require assistance on.</t>
  </si>
  <si>
    <t>I could see an overview of the larger IT organization with different team functions being beneficial. An idea of network team, server team, cloud team, etc. with their respective contacts.</t>
  </si>
  <si>
    <t>Having clear goals as to what someone needs to know instead of stumbling onto them.</t>
  </si>
  <si>
    <t>Clarity is the top benefit. Clarity in goals, access, tasks, procedures, and everywhere else takes the guessing out of it.</t>
  </si>
  <si>
    <t>I believe this would be incredibly beneficial but the initial lift to get into this state would be very heavy. I would like to have some section regarding the creation of a "short and sweet" version for situations where the previous admin is leaving and you have limited time to knowledge transfer.</t>
  </si>
  <si>
    <t xml:space="preserve">I really think the Traffic light model for capability boundaries would be very helpful for reducing the ambiguity and empowering a new security engineer. </t>
  </si>
  <si>
    <t xml:space="preserve">I think starting with early safe tasks that can build the confidence of a new security engineer along with defined escalation and decision authority would be greatly beneficial to ramping up a new hire and improving their readiness to deliver real results.  </t>
  </si>
  <si>
    <t xml:space="preserve">I think the use of templates and traffic light model for capability boundaries combined with the structured sequencing would dramatically improve the onboarding experience and efficiency. </t>
  </si>
  <si>
    <t xml:space="preserve">I think the sections on Defining the target and building foundational clarity would have the most impact and improvement of onboarding outcomes. </t>
  </si>
  <si>
    <t>Ensuring that the framework is actually implemented and held to a standard.</t>
  </si>
  <si>
    <t xml:space="preserve">There needs to be constant updates to the framework. With cyber and IT ever changing it needs to be ahead of the game and needs to stay abreast with current situations. </t>
  </si>
  <si>
    <t>That the light method leaves no margin for error. It needs to help with keeping second guessing at a minimum but also allowing for new ideas.</t>
  </si>
  <si>
    <t>Allow for the light method to be adjusted to the current threat landscape.</t>
  </si>
  <si>
    <t>Yes but tribal knowledge will continue. If the goal is to stick to the traffic light then it needs to be held to the standard. Tribal knowledge is still good for folks who continue to a beat and are looking for ways to prevent new threats from emerging</t>
  </si>
  <si>
    <t xml:space="preserve">If the onboarding process is not updated regularly and or if not actually utilized </t>
  </si>
  <si>
    <t>Adaptability. It can be used in multiple IT domains. It can alleviate confusion and get new team members pointed in the right direction faster than having to ask other members for assistance ir through trial and error.</t>
  </si>
  <si>
    <t>Security Engineering Management;Senior Security Engineer;</t>
  </si>
  <si>
    <t>Milestone expectations</t>
  </si>
  <si>
    <t>Reduction in ambiguity</t>
  </si>
  <si>
    <t>Access and provisioning</t>
  </si>
  <si>
    <t>Structured Sequencing</t>
  </si>
  <si>
    <t>Use of templates</t>
  </si>
  <si>
    <t>Impact on time-to-effectiveness</t>
  </si>
  <si>
    <t>I believe with the new SME structure, roles are much clearer that 5 - 10 years ago. There are no more dual roles within the teams as far as I know.</t>
  </si>
  <si>
    <t>I believe roles are much clearer now than previous years.</t>
  </si>
  <si>
    <t>These 4 areas mentioned would be helpful to document verbal guidance or culture within an organization.</t>
  </si>
  <si>
    <t>These surveys or table top exercises can help identify grey areas or matters that need to be further elaborated between engineers and management.</t>
  </si>
  <si>
    <t>All of these 4, as long as they are applicable to the organization.</t>
  </si>
  <si>
    <t>In situations where experience is needed because of SME knowledge or expertise is needed.</t>
  </si>
  <si>
    <t xml:space="preserve">All of them if implemented well. </t>
  </si>
  <si>
    <t xml:space="preserve">Open communication between all stakeholders. </t>
  </si>
  <si>
    <t>***redacted***</t>
  </si>
  <si>
    <t>Disagree</t>
  </si>
  <si>
    <t>Average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</si>
</sst>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h:mm:ss"/>
  </numFmts>
  <fonts count="2" x14ac:knownFonts="1">
    <font>
      <sz val="11"/>
      <color theme="1"/>
      <name val="Calibri"/>
      <family val="2"/>
      <scheme val="minor"/>
    </font>
    <font>
      <sz val="11"/>
      <color theme="1"/>
      <name val="Calibri"/>
      <family val="2"/>
      <scheme val="minor"/>
    </font>
  </fonts>
  <fills count="2">
    <fill>
      <patternFill patternType="none"/>
    </fill>
    <fill>
      <patternFill patternType="gray125"/>
    </fill>
  </fills>
  <borders count="10">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9" fontId="1" fillId="0" borderId="0" applyFont="0" applyFill="0" applyBorder="0" applyAlignment="0" applyProtection="0"/>
  </cellStyleXfs>
  <cellXfs count="15">
    <xf numFmtId="0" fontId="0" fillId="0" borderId="0" xfId="0"/>
    <xf numFmtId="164" fontId="0" fillId="0" borderId="0" xfId="0" applyNumberFormat="1"/>
    <xf numFmtId="10" fontId="0" fillId="0" borderId="2" xfId="0" applyNumberFormat="1" applyBorder="1"/>
    <xf numFmtId="10" fontId="0" fillId="0" borderId="3" xfId="0" applyNumberFormat="1" applyBorder="1"/>
    <xf numFmtId="10" fontId="0" fillId="0" borderId="4" xfId="0" applyNumberFormat="1" applyBorder="1"/>
    <xf numFmtId="0" fontId="0" fillId="0" borderId="1" xfId="0" applyBorder="1"/>
    <xf numFmtId="10" fontId="0" fillId="0" borderId="5" xfId="1" applyNumberFormat="1" applyFont="1" applyBorder="1"/>
    <xf numFmtId="10" fontId="0" fillId="0" borderId="6" xfId="1" applyNumberFormat="1" applyFont="1" applyBorder="1"/>
    <xf numFmtId="10" fontId="0" fillId="0" borderId="0" xfId="1" applyNumberFormat="1" applyFont="1" applyBorder="1"/>
    <xf numFmtId="10" fontId="0" fillId="0" borderId="7" xfId="1" applyNumberFormat="1" applyFont="1" applyBorder="1"/>
    <xf numFmtId="10" fontId="0" fillId="0" borderId="8" xfId="1" applyNumberFormat="1" applyFont="1" applyBorder="1"/>
    <xf numFmtId="10" fontId="0" fillId="0" borderId="9" xfId="1" applyNumberFormat="1" applyFont="1" applyBorder="1"/>
    <xf numFmtId="0" fontId="0" fillId="0" borderId="2" xfId="0" applyBorder="1"/>
    <xf numFmtId="0" fontId="0" fillId="0" borderId="3" xfId="0" applyBorder="1"/>
    <xf numFmtId="0" fontId="0" fillId="0" borderId="4" xfId="0" applyBorder="1"/>
  </cellXfs>
  <cellStyles count="2">
    <cellStyle name="Normal" xfId="0" builtinId="0"/>
    <cellStyle name="Percent" xfId="1" builtinId="5"/>
  </cellStyles>
  <dxfs count="36">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m/d/yy\ h:mm:ss"/>
    </dxf>
    <dxf>
      <numFmt numFmtId="0" formatCode="General"/>
    </dxf>
    <dxf>
      <numFmt numFmtId="0" formatCode="General"/>
    </dxf>
    <dxf>
      <numFmt numFmtId="164" formatCode="m/d/yy\ h:mm:ss"/>
    </dxf>
    <dxf>
      <numFmt numFmtId="164" formatCode="m/d/yy\ h:mm:ss"/>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AJ19" totalsRowShown="0">
  <autoFilter ref="A1:AJ19" xr:uid="{00000000-0009-0000-0100-000001000000}"/>
  <tableColumns count="36">
    <tableColumn id="1" xr3:uid="{00000000-0010-0000-0000-000001000000}" name="ID" dataDxfId="35"/>
    <tableColumn id="2" xr3:uid="{00000000-0010-0000-0000-000002000000}" name="Start time" dataDxfId="34"/>
    <tableColumn id="3" xr3:uid="{00000000-0010-0000-0000-000003000000}" name="Completion time" dataDxfId="33"/>
    <tableColumn id="4" xr3:uid="{00000000-0010-0000-0000-000004000000}" name="Email" dataDxfId="32"/>
    <tableColumn id="5" xr3:uid="{00000000-0010-0000-0000-000005000000}" name="Name" dataDxfId="31"/>
    <tableColumn id="6" xr3:uid="{00000000-0010-0000-0000-000006000000}" name="Last modified time" dataDxfId="30"/>
    <tableColumn id="7" xr3:uid="{00000000-0010-0000-0000-000007000000}" name="Please enter your name. Note: This is only used for tracking who has responded to the survey. All responses are aggregated in the final analysis and will not be attributed to any individual." dataDxfId="29"/>
    <tableColumn id="8" xr3:uid="{00000000-0010-0000-0000-000008000000}" name="Which of these roles do you identify as?" dataDxfId="28"/>
    <tableColumn id="9" xr3:uid="{00000000-0010-0000-0000-000009000000}" name="Role definition usefulness: The role definition elements (e.g., responsibilities, key systems, competencies) would help organizations clearly define Security Engineering roles." dataDxfId="27"/>
    <tableColumn id="10" xr3:uid="{00000000-0010-0000-0000-00000A000000}" name="Decision boundaries: The Traffic Light Model for capability boundaries (Green/Yellow/Red) would help organizations clearly communicate what tasks a new hire can perform independently versus with s..." dataDxfId="26"/>
    <tableColumn id="11" xr3:uid="{00000000-0010-0000-0000-00000B000000}" name="Milestone expectations: The 30/60/90-day milestones would help organizations set clear expectations for early performance and progress." dataDxfId="25"/>
    <tableColumn id="12" xr3:uid="{00000000-0010-0000-0000-00000C000000}" name="Reduction in ambiguity: Overall, this framework would reduce ambiguity about what a Security Engineer is expected to do during their first 90 days." dataDxfId="24"/>
    <tableColumn id="13" xr3:uid="{00000000-0010-0000-0000-00000D000000}" name="In your view, which parts of the framework would be most effective at improving role clarity for new Security Engineers?" dataDxfId="23"/>
    <tableColumn id="14" xr3:uid="{00000000-0010-0000-0000-00000E000000}" name="Where, if anywhere, would organizations still need additional guidance to fully clarify roles?" dataDxfId="22"/>
    <tableColumn id="15" xr3:uid="{00000000-0010-0000-0000-00000F000000}" name="Early safe tasks: The Traffic Light Model for capability boundaries (Green/Yellow/Red) would help organizations assign early work that is both safe and confidence building." dataDxfId="21"/>
    <tableColumn id="16" xr3:uid="{00000000-0010-0000-0000-000010000000}" name="Access and provisioning: The access and system provisioning guidance would help organizations reduce delays and confusion in getting new hires the tools they need to start contributing." dataDxfId="20"/>
    <tableColumn id="17" xr3:uid="{00000000-0010-0000-0000-000011000000}" name="Policy and governance grounding: The policy and compliance training structure would help organizations prepare new hires to make decisions that align with governance and audit expectations." dataDxfId="19"/>
    <tableColumn id="18" xr3:uid="{00000000-0010-0000-0000-000012000000}" name="Escalation and decision authority: The decision authority and escalation boundaries would help organizations teach new hires when to act independently and when to escalate." dataDxfId="18"/>
    <tableColumn id="19" xr3:uid="{00000000-0010-0000-0000-000013000000}" name="Which components of the framework do you believe would most improve a new hire's readiness to perform real tasks in a secure way?" dataDxfId="17"/>
    <tableColumn id="20" xr3:uid="{00000000-0010-0000-0000-000014000000}" name="What additional elements (if any) would you recommend to further support task readiness?" dataDxfId="16"/>
    <tableColumn id="21" xr3:uid="{00000000-0010-0000-0000-000015000000}" name="Reduced ramp-up friction:  This framework would reduce common onboarding friction points (e.g., chasing access, unclear next steps)." dataDxfId="15"/>
    <tableColumn id="22" xr3:uid="{00000000-0010-0000-0000-000016000000}" name="Structured sequencing: The way activities are sequenced (pre-arrival, first week, 30/60/90-days) would help organizations create a smoother, more predictable onboarding experience." dataDxfId="14"/>
    <tableColumn id="23" xr3:uid="{00000000-0010-0000-0000-000017000000}" name="Use of templates: The templates and Traffic Light Model for capability boundaries (Green/Yellow/Red) would help organizations standardize onboarding and reduce ad hoc work." dataDxfId="13"/>
    <tableColumn id="24" xr3:uid="{00000000-0010-0000-0000-000018000000}" name="Reduction of tribal knowledge dependency: The knowledge infrastructure and documentation guidance would reduce reliance on tribal knowledge for getting new hires productive." dataDxfId="12"/>
    <tableColumn id="25" xr3:uid="{00000000-0010-0000-0000-000019000000}" name="In your judgement, which parts of the framework would most improve onboarding efficiency if implemented?" dataDxfId="11"/>
    <tableColumn id="26" xr3:uid="{00000000-0010-0000-0000-00001A000000}" name="Where (if anywhere) might organizations still experience inefficiencies, even with this framework in place? " dataDxfId="10"/>
    <tableColumn id="27" xr3:uid="{00000000-0010-0000-0000-00001B000000}" name="Impact on time-to-effectiveness: This framework would likely reduce time-to-effectiveness for Security Engineers compared to typical ad hoc onboarding." dataDxfId="9"/>
    <tableColumn id="28" xr3:uid="{00000000-0010-0000-0000-00001C000000}" name="Adaptability across organizations: The framework is adaptable enough to be used by different organizations with varying architectures and maturity levels." dataDxfId="8"/>
    <tableColumn id="29" xr3:uid="{00000000-0010-0000-0000-00001D000000}" name="Implementation practicality: The level of effort required to implement and maintain this framework is reasonable given the potential benefits." dataDxfId="7"/>
    <tableColumn id="30" xr3:uid="{00000000-0010-0000-0000-00001E000000}" name="Repeatability and governance: The framework provides enough structure for organizations to create a repeatable, governed onboarding process rather than a one-off effort." dataDxfId="6"/>
    <tableColumn id="31" xr3:uid="{00000000-0010-0000-0000-00001F000000}" name="Which sections of the framework do you believe would have the greatest impact on improving onboarding outcomes if implemented?" dataDxfId="5"/>
    <tableColumn id="32" xr3:uid="{00000000-0010-0000-0000-000020000000}" name="What changes or additions (if any) would you recommend before an organization adopts this framework?" dataDxfId="4"/>
    <tableColumn id="33" xr3:uid="{00000000-0010-0000-0000-000021000000}" name="Conceptual distinction: The framework clearly differentiates between role clarity, task readiness, and onboarding efficiency." dataDxfId="3"/>
    <tableColumn id="34" xr3:uid="{00000000-0010-0000-0000-000022000000}" name="Structural coherence: The sections of the framework build on each other in a logical sequence that supports the onboarding process." dataDxfId="2"/>
    <tableColumn id="35" xr3:uid="{00000000-0010-0000-0000-000023000000}" name="Practical implementation: The framework is realistic for organizations to adopt and maintain." dataDxfId="1"/>
    <tableColumn id="36" xr3:uid="{00000000-0010-0000-0000-000024000000}" name="Appropriate level of detail: The framework provides enough specificity to be actionable without becoming overly prescriptiv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25"/>
  <sheetViews>
    <sheetView tabSelected="1" workbookViewId="0">
      <selection activeCell="AG53" sqref="AG53"/>
    </sheetView>
  </sheetViews>
  <sheetFormatPr defaultRowHeight="15" x14ac:dyDescent="0.25"/>
  <cols>
    <col min="1" max="36" width="20" bestFit="1" customWidth="1"/>
  </cols>
  <sheetData>
    <row r="1" spans="1:36"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spans="1:36" x14ac:dyDescent="0.25">
      <c r="A2">
        <v>2</v>
      </c>
      <c r="B2" s="1">
        <v>46101.398055555597</v>
      </c>
      <c r="C2" s="1">
        <v>46101.414432870399</v>
      </c>
      <c r="D2" t="s">
        <v>36</v>
      </c>
      <c r="F2" s="1"/>
      <c r="G2" t="s">
        <v>170</v>
      </c>
      <c r="H2" t="s">
        <v>37</v>
      </c>
      <c r="I2" t="s">
        <v>38</v>
      </c>
      <c r="J2" t="s">
        <v>38</v>
      </c>
      <c r="K2" t="s">
        <v>39</v>
      </c>
      <c r="L2" t="s">
        <v>39</v>
      </c>
      <c r="M2" t="s">
        <v>40</v>
      </c>
      <c r="N2" t="s">
        <v>41</v>
      </c>
      <c r="O2" t="s">
        <v>39</v>
      </c>
      <c r="P2" t="s">
        <v>39</v>
      </c>
      <c r="Q2" t="s">
        <v>39</v>
      </c>
      <c r="R2" t="s">
        <v>38</v>
      </c>
      <c r="S2" t="s">
        <v>42</v>
      </c>
      <c r="T2" t="s">
        <v>43</v>
      </c>
      <c r="U2" t="s">
        <v>39</v>
      </c>
      <c r="V2" t="s">
        <v>39</v>
      </c>
      <c r="W2" t="s">
        <v>38</v>
      </c>
      <c r="X2" t="s">
        <v>38</v>
      </c>
      <c r="Y2" t="s">
        <v>44</v>
      </c>
      <c r="Z2" t="s">
        <v>45</v>
      </c>
      <c r="AA2" t="s">
        <v>39</v>
      </c>
      <c r="AB2" t="s">
        <v>38</v>
      </c>
      <c r="AC2" t="s">
        <v>38</v>
      </c>
      <c r="AD2" t="s">
        <v>39</v>
      </c>
      <c r="AE2" t="s">
        <v>46</v>
      </c>
      <c r="AG2" t="s">
        <v>38</v>
      </c>
      <c r="AH2" t="s">
        <v>38</v>
      </c>
      <c r="AI2" t="s">
        <v>38</v>
      </c>
      <c r="AJ2" t="s">
        <v>38</v>
      </c>
    </row>
    <row r="3" spans="1:36" x14ac:dyDescent="0.25">
      <c r="A3">
        <v>3</v>
      </c>
      <c r="B3" s="1">
        <v>46102.702928240702</v>
      </c>
      <c r="C3" s="1">
        <v>46102.711597222202</v>
      </c>
      <c r="D3" t="s">
        <v>36</v>
      </c>
      <c r="F3" s="1"/>
      <c r="G3" t="s">
        <v>170</v>
      </c>
      <c r="H3" t="s">
        <v>47</v>
      </c>
      <c r="I3" t="s">
        <v>39</v>
      </c>
      <c r="J3" t="s">
        <v>39</v>
      </c>
      <c r="K3" t="s">
        <v>39</v>
      </c>
      <c r="L3" t="s">
        <v>39</v>
      </c>
      <c r="M3" t="s">
        <v>48</v>
      </c>
      <c r="N3" t="s">
        <v>49</v>
      </c>
      <c r="O3" t="s">
        <v>39</v>
      </c>
      <c r="P3" t="s">
        <v>39</v>
      </c>
      <c r="Q3" t="s">
        <v>38</v>
      </c>
      <c r="R3" t="s">
        <v>39</v>
      </c>
      <c r="S3" t="s">
        <v>50</v>
      </c>
      <c r="T3" t="s">
        <v>51</v>
      </c>
      <c r="U3" t="s">
        <v>39</v>
      </c>
      <c r="V3" t="s">
        <v>39</v>
      </c>
      <c r="W3" t="s">
        <v>39</v>
      </c>
      <c r="X3" t="s">
        <v>39</v>
      </c>
      <c r="Y3" t="s">
        <v>52</v>
      </c>
      <c r="Z3" t="s">
        <v>53</v>
      </c>
      <c r="AA3" t="s">
        <v>39</v>
      </c>
      <c r="AB3" t="s">
        <v>38</v>
      </c>
      <c r="AC3" t="s">
        <v>38</v>
      </c>
      <c r="AD3" t="s">
        <v>39</v>
      </c>
      <c r="AE3" t="s">
        <v>54</v>
      </c>
      <c r="AF3" t="s">
        <v>55</v>
      </c>
      <c r="AG3" t="s">
        <v>38</v>
      </c>
      <c r="AH3" t="s">
        <v>39</v>
      </c>
      <c r="AI3" t="s">
        <v>38</v>
      </c>
      <c r="AJ3" t="s">
        <v>38</v>
      </c>
    </row>
    <row r="4" spans="1:36" x14ac:dyDescent="0.25">
      <c r="A4">
        <v>4</v>
      </c>
      <c r="B4" s="1">
        <v>46105.157523148097</v>
      </c>
      <c r="C4" s="1">
        <v>46105.280300925901</v>
      </c>
      <c r="D4" t="s">
        <v>36</v>
      </c>
      <c r="F4" s="1"/>
      <c r="G4" t="s">
        <v>170</v>
      </c>
      <c r="H4" t="s">
        <v>47</v>
      </c>
      <c r="I4" t="s">
        <v>38</v>
      </c>
      <c r="J4" t="s">
        <v>39</v>
      </c>
      <c r="K4" t="s">
        <v>39</v>
      </c>
      <c r="L4" t="s">
        <v>38</v>
      </c>
      <c r="M4" t="s">
        <v>56</v>
      </c>
      <c r="N4" t="s">
        <v>57</v>
      </c>
      <c r="O4" t="s">
        <v>39</v>
      </c>
      <c r="P4" t="s">
        <v>39</v>
      </c>
      <c r="Q4" t="s">
        <v>38</v>
      </c>
      <c r="R4" t="s">
        <v>38</v>
      </c>
      <c r="S4" t="s">
        <v>58</v>
      </c>
      <c r="T4" t="s">
        <v>59</v>
      </c>
      <c r="U4" t="s">
        <v>39</v>
      </c>
      <c r="V4" t="s">
        <v>39</v>
      </c>
      <c r="W4" t="s">
        <v>39</v>
      </c>
      <c r="X4" t="s">
        <v>39</v>
      </c>
      <c r="Y4" t="s">
        <v>60</v>
      </c>
      <c r="AA4" t="s">
        <v>39</v>
      </c>
      <c r="AB4" t="s">
        <v>38</v>
      </c>
      <c r="AC4" t="s">
        <v>39</v>
      </c>
      <c r="AD4" t="s">
        <v>38</v>
      </c>
      <c r="AE4" t="s">
        <v>61</v>
      </c>
      <c r="AF4" t="s">
        <v>62</v>
      </c>
      <c r="AG4" t="s">
        <v>39</v>
      </c>
      <c r="AH4" t="s">
        <v>38</v>
      </c>
      <c r="AI4" t="s">
        <v>38</v>
      </c>
      <c r="AJ4" t="s">
        <v>63</v>
      </c>
    </row>
    <row r="5" spans="1:36" x14ac:dyDescent="0.25">
      <c r="A5">
        <v>5</v>
      </c>
      <c r="B5" s="1">
        <v>46108.313287037003</v>
      </c>
      <c r="C5" s="1">
        <v>46108.321770833303</v>
      </c>
      <c r="D5" t="s">
        <v>36</v>
      </c>
      <c r="F5" s="1"/>
      <c r="G5" t="s">
        <v>170</v>
      </c>
      <c r="H5" t="s">
        <v>64</v>
      </c>
      <c r="I5" t="s">
        <v>38</v>
      </c>
      <c r="J5" t="s">
        <v>38</v>
      </c>
      <c r="K5" t="s">
        <v>39</v>
      </c>
      <c r="L5" t="s">
        <v>38</v>
      </c>
      <c r="M5" t="s">
        <v>65</v>
      </c>
      <c r="N5" t="s">
        <v>66</v>
      </c>
      <c r="O5" t="s">
        <v>38</v>
      </c>
      <c r="P5" t="s">
        <v>38</v>
      </c>
      <c r="Q5" t="s">
        <v>38</v>
      </c>
      <c r="R5" t="s">
        <v>39</v>
      </c>
      <c r="S5" t="s">
        <v>67</v>
      </c>
      <c r="T5" t="s">
        <v>68</v>
      </c>
      <c r="U5" t="s">
        <v>39</v>
      </c>
      <c r="V5" t="s">
        <v>39</v>
      </c>
      <c r="W5" t="s">
        <v>38</v>
      </c>
      <c r="X5" t="s">
        <v>38</v>
      </c>
      <c r="Y5" t="s">
        <v>69</v>
      </c>
      <c r="Z5" t="s">
        <v>70</v>
      </c>
      <c r="AA5" t="s">
        <v>38</v>
      </c>
      <c r="AB5" t="s">
        <v>38</v>
      </c>
      <c r="AC5" t="s">
        <v>38</v>
      </c>
      <c r="AD5" t="s">
        <v>39</v>
      </c>
      <c r="AE5" t="s">
        <v>71</v>
      </c>
      <c r="AF5" t="s">
        <v>72</v>
      </c>
      <c r="AG5" t="s">
        <v>38</v>
      </c>
      <c r="AH5" t="s">
        <v>38</v>
      </c>
      <c r="AI5" t="s">
        <v>38</v>
      </c>
      <c r="AJ5" t="s">
        <v>38</v>
      </c>
    </row>
    <row r="6" spans="1:36" x14ac:dyDescent="0.25">
      <c r="A6">
        <v>6</v>
      </c>
      <c r="B6" s="1">
        <v>46109.429270833301</v>
      </c>
      <c r="C6" s="1">
        <v>46109.4347569444</v>
      </c>
      <c r="D6" t="s">
        <v>36</v>
      </c>
      <c r="F6" s="1"/>
      <c r="G6" t="s">
        <v>170</v>
      </c>
      <c r="H6" t="s">
        <v>64</v>
      </c>
      <c r="I6" t="s">
        <v>39</v>
      </c>
      <c r="J6" t="s">
        <v>39</v>
      </c>
      <c r="K6" t="s">
        <v>39</v>
      </c>
      <c r="L6" t="s">
        <v>39</v>
      </c>
      <c r="M6" t="s">
        <v>73</v>
      </c>
      <c r="N6" t="s">
        <v>74</v>
      </c>
      <c r="O6" t="s">
        <v>39</v>
      </c>
      <c r="P6" t="s">
        <v>39</v>
      </c>
      <c r="Q6" t="s">
        <v>39</v>
      </c>
      <c r="R6" t="s">
        <v>38</v>
      </c>
      <c r="S6" t="s">
        <v>75</v>
      </c>
      <c r="U6" t="s">
        <v>39</v>
      </c>
      <c r="V6" t="s">
        <v>39</v>
      </c>
      <c r="W6" t="s">
        <v>39</v>
      </c>
      <c r="X6" t="s">
        <v>39</v>
      </c>
      <c r="Y6" t="s">
        <v>76</v>
      </c>
      <c r="AA6" t="s">
        <v>39</v>
      </c>
      <c r="AB6" t="s">
        <v>39</v>
      </c>
      <c r="AC6" t="s">
        <v>39</v>
      </c>
      <c r="AD6" t="s">
        <v>39</v>
      </c>
      <c r="AE6" t="s">
        <v>77</v>
      </c>
      <c r="AG6" t="s">
        <v>39</v>
      </c>
      <c r="AH6" t="s">
        <v>39</v>
      </c>
      <c r="AI6" t="s">
        <v>39</v>
      </c>
      <c r="AJ6" t="s">
        <v>38</v>
      </c>
    </row>
    <row r="7" spans="1:36" x14ac:dyDescent="0.25">
      <c r="A7">
        <v>7</v>
      </c>
      <c r="B7" s="1">
        <v>46110.419027777803</v>
      </c>
      <c r="C7" s="1">
        <v>46110.429131944402</v>
      </c>
      <c r="D7" t="s">
        <v>36</v>
      </c>
      <c r="F7" s="1"/>
      <c r="G7" t="s">
        <v>170</v>
      </c>
      <c r="H7" t="s">
        <v>47</v>
      </c>
      <c r="I7" t="s">
        <v>39</v>
      </c>
      <c r="J7" t="s">
        <v>39</v>
      </c>
      <c r="K7" t="s">
        <v>39</v>
      </c>
      <c r="L7" t="s">
        <v>39</v>
      </c>
      <c r="M7" t="s">
        <v>78</v>
      </c>
      <c r="N7" t="s">
        <v>79</v>
      </c>
      <c r="O7" t="s">
        <v>39</v>
      </c>
      <c r="P7" t="s">
        <v>39</v>
      </c>
      <c r="Q7" t="s">
        <v>39</v>
      </c>
      <c r="R7" t="s">
        <v>39</v>
      </c>
      <c r="S7" t="s">
        <v>80</v>
      </c>
      <c r="T7" t="s">
        <v>81</v>
      </c>
      <c r="U7" t="s">
        <v>39</v>
      </c>
      <c r="V7" t="s">
        <v>39</v>
      </c>
      <c r="W7" t="s">
        <v>39</v>
      </c>
      <c r="X7" t="s">
        <v>63</v>
      </c>
      <c r="Y7" t="s">
        <v>82</v>
      </c>
      <c r="Z7" t="s">
        <v>83</v>
      </c>
      <c r="AA7" t="s">
        <v>39</v>
      </c>
      <c r="AB7" t="s">
        <v>39</v>
      </c>
      <c r="AC7" t="s">
        <v>39</v>
      </c>
      <c r="AD7" t="s">
        <v>39</v>
      </c>
      <c r="AE7" t="s">
        <v>84</v>
      </c>
      <c r="AF7" t="s">
        <v>85</v>
      </c>
      <c r="AG7" t="s">
        <v>39</v>
      </c>
      <c r="AH7" t="s">
        <v>39</v>
      </c>
      <c r="AI7" t="s">
        <v>39</v>
      </c>
      <c r="AJ7" t="s">
        <v>39</v>
      </c>
    </row>
    <row r="8" spans="1:36" x14ac:dyDescent="0.25">
      <c r="A8">
        <v>8</v>
      </c>
      <c r="B8" s="1">
        <v>46111.2257986111</v>
      </c>
      <c r="C8" s="1">
        <v>46111.378009259301</v>
      </c>
      <c r="D8" t="s">
        <v>36</v>
      </c>
      <c r="F8" s="1"/>
      <c r="G8" t="s">
        <v>170</v>
      </c>
      <c r="H8" t="s">
        <v>86</v>
      </c>
      <c r="I8" t="s">
        <v>39</v>
      </c>
      <c r="J8" t="s">
        <v>38</v>
      </c>
      <c r="K8" t="s">
        <v>39</v>
      </c>
      <c r="L8" t="s">
        <v>39</v>
      </c>
      <c r="M8" t="s">
        <v>87</v>
      </c>
      <c r="N8" t="s">
        <v>88</v>
      </c>
      <c r="O8" t="s">
        <v>39</v>
      </c>
      <c r="P8" t="s">
        <v>39</v>
      </c>
      <c r="Q8" t="s">
        <v>39</v>
      </c>
      <c r="R8" t="s">
        <v>39</v>
      </c>
      <c r="S8" t="s">
        <v>89</v>
      </c>
      <c r="T8" t="s">
        <v>90</v>
      </c>
      <c r="U8" t="s">
        <v>38</v>
      </c>
      <c r="V8" t="s">
        <v>39</v>
      </c>
      <c r="W8" t="s">
        <v>38</v>
      </c>
      <c r="X8" t="s">
        <v>39</v>
      </c>
      <c r="Y8" t="s">
        <v>91</v>
      </c>
      <c r="Z8" t="s">
        <v>92</v>
      </c>
      <c r="AA8" t="s">
        <v>38</v>
      </c>
      <c r="AB8" t="s">
        <v>38</v>
      </c>
      <c r="AC8" t="s">
        <v>39</v>
      </c>
      <c r="AD8" t="s">
        <v>39</v>
      </c>
      <c r="AE8" t="s">
        <v>93</v>
      </c>
      <c r="AF8" t="s">
        <v>94</v>
      </c>
      <c r="AG8" t="s">
        <v>39</v>
      </c>
      <c r="AH8" t="s">
        <v>39</v>
      </c>
      <c r="AI8" t="s">
        <v>39</v>
      </c>
      <c r="AJ8" t="s">
        <v>39</v>
      </c>
    </row>
    <row r="9" spans="1:36" x14ac:dyDescent="0.25">
      <c r="A9">
        <v>9</v>
      </c>
      <c r="B9" s="1">
        <v>46112.939050925903</v>
      </c>
      <c r="C9" s="1">
        <v>46112.950624999998</v>
      </c>
      <c r="D9" t="s">
        <v>36</v>
      </c>
      <c r="F9" s="1"/>
      <c r="G9" t="s">
        <v>170</v>
      </c>
      <c r="H9" t="s">
        <v>95</v>
      </c>
      <c r="I9" t="s">
        <v>39</v>
      </c>
      <c r="J9" t="s">
        <v>39</v>
      </c>
      <c r="K9" t="s">
        <v>39</v>
      </c>
      <c r="L9" t="s">
        <v>39</v>
      </c>
      <c r="M9" t="s">
        <v>96</v>
      </c>
      <c r="N9" t="s">
        <v>97</v>
      </c>
      <c r="O9" t="s">
        <v>39</v>
      </c>
      <c r="P9" t="s">
        <v>39</v>
      </c>
      <c r="Q9" t="s">
        <v>39</v>
      </c>
      <c r="R9" t="s">
        <v>39</v>
      </c>
      <c r="S9" t="s">
        <v>98</v>
      </c>
      <c r="T9" t="s">
        <v>99</v>
      </c>
      <c r="U9" t="s">
        <v>63</v>
      </c>
      <c r="V9" t="s">
        <v>39</v>
      </c>
      <c r="W9" t="s">
        <v>39</v>
      </c>
      <c r="X9" t="s">
        <v>63</v>
      </c>
      <c r="Y9" t="s">
        <v>100</v>
      </c>
      <c r="Z9" t="s">
        <v>101</v>
      </c>
      <c r="AA9" t="s">
        <v>39</v>
      </c>
      <c r="AB9" t="s">
        <v>102</v>
      </c>
      <c r="AC9" t="s">
        <v>63</v>
      </c>
      <c r="AD9" t="s">
        <v>63</v>
      </c>
      <c r="AE9" t="s">
        <v>103</v>
      </c>
      <c r="AF9" t="s">
        <v>104</v>
      </c>
      <c r="AG9" t="s">
        <v>39</v>
      </c>
      <c r="AH9" t="s">
        <v>39</v>
      </c>
      <c r="AI9" t="s">
        <v>39</v>
      </c>
      <c r="AJ9" t="s">
        <v>39</v>
      </c>
    </row>
    <row r="10" spans="1:36" x14ac:dyDescent="0.25">
      <c r="A10">
        <v>10</v>
      </c>
      <c r="B10" s="1">
        <v>46114.200798611098</v>
      </c>
      <c r="C10" s="1">
        <v>46114.225312499999</v>
      </c>
      <c r="D10" t="s">
        <v>36</v>
      </c>
      <c r="F10" s="1"/>
      <c r="G10" t="s">
        <v>170</v>
      </c>
      <c r="H10" t="s">
        <v>105</v>
      </c>
      <c r="I10" t="s">
        <v>38</v>
      </c>
      <c r="J10" t="s">
        <v>39</v>
      </c>
      <c r="K10" t="s">
        <v>39</v>
      </c>
      <c r="L10" t="s">
        <v>38</v>
      </c>
      <c r="M10" t="s">
        <v>106</v>
      </c>
      <c r="N10" t="s">
        <v>107</v>
      </c>
      <c r="O10" t="s">
        <v>39</v>
      </c>
      <c r="P10" t="s">
        <v>39</v>
      </c>
      <c r="Q10" t="s">
        <v>38</v>
      </c>
      <c r="R10" t="s">
        <v>38</v>
      </c>
      <c r="S10" t="s">
        <v>108</v>
      </c>
      <c r="U10" t="s">
        <v>39</v>
      </c>
      <c r="V10" t="s">
        <v>39</v>
      </c>
      <c r="W10" t="s">
        <v>38</v>
      </c>
      <c r="X10" t="s">
        <v>39</v>
      </c>
      <c r="Y10" t="s">
        <v>109</v>
      </c>
      <c r="Z10" t="s">
        <v>110</v>
      </c>
      <c r="AA10" t="s">
        <v>39</v>
      </c>
      <c r="AB10" t="s">
        <v>38</v>
      </c>
      <c r="AC10" t="s">
        <v>39</v>
      </c>
      <c r="AD10" t="s">
        <v>39</v>
      </c>
      <c r="AE10" t="s">
        <v>111</v>
      </c>
      <c r="AF10" t="s">
        <v>112</v>
      </c>
      <c r="AG10" t="s">
        <v>39</v>
      </c>
      <c r="AH10" t="s">
        <v>38</v>
      </c>
      <c r="AI10" t="s">
        <v>39</v>
      </c>
      <c r="AJ10" t="s">
        <v>39</v>
      </c>
    </row>
    <row r="11" spans="1:36" x14ac:dyDescent="0.25">
      <c r="A11">
        <v>11</v>
      </c>
      <c r="B11" s="1">
        <v>46114.325925925899</v>
      </c>
      <c r="C11" s="1">
        <v>46114.341377314799</v>
      </c>
      <c r="D11" t="s">
        <v>36</v>
      </c>
      <c r="F11" s="1"/>
      <c r="G11" t="s">
        <v>170</v>
      </c>
      <c r="H11" t="s">
        <v>64</v>
      </c>
      <c r="I11" t="s">
        <v>38</v>
      </c>
      <c r="J11" t="s">
        <v>38</v>
      </c>
      <c r="K11" t="s">
        <v>39</v>
      </c>
      <c r="L11" t="s">
        <v>39</v>
      </c>
      <c r="M11" t="s">
        <v>113</v>
      </c>
      <c r="N11" t="s">
        <v>114</v>
      </c>
      <c r="O11" t="s">
        <v>39</v>
      </c>
      <c r="P11" t="s">
        <v>39</v>
      </c>
      <c r="Q11" t="s">
        <v>38</v>
      </c>
      <c r="R11" t="s">
        <v>38</v>
      </c>
      <c r="S11" t="s">
        <v>115</v>
      </c>
      <c r="U11" t="s">
        <v>39</v>
      </c>
      <c r="V11" t="s">
        <v>38</v>
      </c>
      <c r="W11" t="s">
        <v>38</v>
      </c>
      <c r="X11" t="s">
        <v>63</v>
      </c>
      <c r="Y11" t="s">
        <v>116</v>
      </c>
      <c r="Z11" t="s">
        <v>117</v>
      </c>
      <c r="AA11" t="s">
        <v>38</v>
      </c>
      <c r="AB11" t="s">
        <v>39</v>
      </c>
      <c r="AC11" t="s">
        <v>38</v>
      </c>
      <c r="AD11" t="s">
        <v>38</v>
      </c>
      <c r="AE11" t="s">
        <v>118</v>
      </c>
      <c r="AG11" t="s">
        <v>39</v>
      </c>
      <c r="AH11" t="s">
        <v>39</v>
      </c>
      <c r="AI11" t="s">
        <v>39</v>
      </c>
      <c r="AJ11" t="s">
        <v>39</v>
      </c>
    </row>
    <row r="12" spans="1:36" x14ac:dyDescent="0.25">
      <c r="A12">
        <v>12</v>
      </c>
      <c r="B12" s="1">
        <v>46114.347719907397</v>
      </c>
      <c r="C12" s="1">
        <v>46114.356388888897</v>
      </c>
      <c r="D12" t="s">
        <v>36</v>
      </c>
      <c r="F12" s="1"/>
      <c r="G12" t="s">
        <v>170</v>
      </c>
      <c r="H12" t="s">
        <v>47</v>
      </c>
      <c r="I12" t="s">
        <v>38</v>
      </c>
      <c r="J12" t="s">
        <v>38</v>
      </c>
      <c r="K12" t="s">
        <v>38</v>
      </c>
      <c r="L12" t="s">
        <v>63</v>
      </c>
      <c r="M12" t="s">
        <v>119</v>
      </c>
      <c r="N12" t="s">
        <v>120</v>
      </c>
      <c r="O12" t="s">
        <v>39</v>
      </c>
      <c r="P12" t="s">
        <v>39</v>
      </c>
      <c r="Q12" t="s">
        <v>38</v>
      </c>
      <c r="R12" t="s">
        <v>38</v>
      </c>
      <c r="S12" t="s">
        <v>121</v>
      </c>
      <c r="T12" t="s">
        <v>122</v>
      </c>
      <c r="U12" t="s">
        <v>38</v>
      </c>
      <c r="V12" t="s">
        <v>39</v>
      </c>
      <c r="W12" t="s">
        <v>38</v>
      </c>
      <c r="X12" t="s">
        <v>63</v>
      </c>
      <c r="Y12" t="s">
        <v>123</v>
      </c>
      <c r="Z12" t="s">
        <v>124</v>
      </c>
      <c r="AA12" t="s">
        <v>38</v>
      </c>
      <c r="AB12" t="s">
        <v>63</v>
      </c>
      <c r="AC12" t="s">
        <v>63</v>
      </c>
      <c r="AD12" t="s">
        <v>38</v>
      </c>
      <c r="AE12" t="s">
        <v>125</v>
      </c>
      <c r="AF12" t="s">
        <v>126</v>
      </c>
      <c r="AG12" t="s">
        <v>38</v>
      </c>
      <c r="AH12" t="s">
        <v>39</v>
      </c>
      <c r="AI12" t="s">
        <v>63</v>
      </c>
      <c r="AJ12" t="s">
        <v>63</v>
      </c>
    </row>
    <row r="13" spans="1:36" x14ac:dyDescent="0.25">
      <c r="A13">
        <v>13</v>
      </c>
      <c r="B13" s="1">
        <v>46114.660949074103</v>
      </c>
      <c r="C13" s="1">
        <v>46114.679479166698</v>
      </c>
      <c r="D13" t="s">
        <v>36</v>
      </c>
      <c r="F13" s="1"/>
      <c r="G13" t="s">
        <v>170</v>
      </c>
      <c r="H13" t="s">
        <v>64</v>
      </c>
      <c r="I13" t="s">
        <v>39</v>
      </c>
      <c r="J13" t="s">
        <v>39</v>
      </c>
      <c r="K13" t="s">
        <v>39</v>
      </c>
      <c r="L13" t="s">
        <v>39</v>
      </c>
      <c r="M13" t="s">
        <v>127</v>
      </c>
      <c r="O13" t="s">
        <v>39</v>
      </c>
      <c r="P13" t="s">
        <v>39</v>
      </c>
      <c r="Q13" t="s">
        <v>39</v>
      </c>
      <c r="R13" t="s">
        <v>39</v>
      </c>
      <c r="S13" t="s">
        <v>128</v>
      </c>
      <c r="U13" t="s">
        <v>39</v>
      </c>
      <c r="V13" t="s">
        <v>39</v>
      </c>
      <c r="W13" t="s">
        <v>39</v>
      </c>
      <c r="X13" t="s">
        <v>39</v>
      </c>
      <c r="Y13" t="s">
        <v>129</v>
      </c>
      <c r="AA13" t="s">
        <v>39</v>
      </c>
      <c r="AB13" t="s">
        <v>39</v>
      </c>
      <c r="AC13" t="s">
        <v>39</v>
      </c>
      <c r="AD13" t="s">
        <v>39</v>
      </c>
      <c r="AE13" t="s">
        <v>130</v>
      </c>
      <c r="AG13" t="s">
        <v>39</v>
      </c>
      <c r="AH13" t="s">
        <v>39</v>
      </c>
      <c r="AI13" t="s">
        <v>39</v>
      </c>
      <c r="AJ13" t="s">
        <v>39</v>
      </c>
    </row>
    <row r="14" spans="1:36" x14ac:dyDescent="0.25">
      <c r="A14">
        <v>14</v>
      </c>
      <c r="B14" s="1">
        <v>46114.6886226852</v>
      </c>
      <c r="C14" s="1">
        <v>46114.6948611111</v>
      </c>
      <c r="D14" t="s">
        <v>36</v>
      </c>
      <c r="F14" s="1"/>
      <c r="G14" t="s">
        <v>170</v>
      </c>
      <c r="H14" t="s">
        <v>64</v>
      </c>
      <c r="I14" t="s">
        <v>38</v>
      </c>
      <c r="J14" t="s">
        <v>39</v>
      </c>
      <c r="K14" t="s">
        <v>39</v>
      </c>
      <c r="L14" t="s">
        <v>38</v>
      </c>
      <c r="M14" t="s">
        <v>131</v>
      </c>
      <c r="N14" t="s">
        <v>132</v>
      </c>
      <c r="O14" t="s">
        <v>39</v>
      </c>
      <c r="P14" t="s">
        <v>39</v>
      </c>
      <c r="Q14" t="s">
        <v>39</v>
      </c>
      <c r="R14" t="s">
        <v>39</v>
      </c>
      <c r="S14" t="s">
        <v>133</v>
      </c>
      <c r="T14" t="s">
        <v>134</v>
      </c>
      <c r="U14" t="s">
        <v>39</v>
      </c>
      <c r="V14" t="s">
        <v>39</v>
      </c>
      <c r="W14" t="s">
        <v>39</v>
      </c>
      <c r="X14" t="s">
        <v>38</v>
      </c>
      <c r="Y14" t="s">
        <v>135</v>
      </c>
      <c r="Z14" t="s">
        <v>136</v>
      </c>
      <c r="AA14" t="s">
        <v>38</v>
      </c>
      <c r="AB14" t="s">
        <v>39</v>
      </c>
      <c r="AC14" t="s">
        <v>39</v>
      </c>
      <c r="AD14" t="s">
        <v>39</v>
      </c>
      <c r="AE14" t="s">
        <v>137</v>
      </c>
      <c r="AG14" t="s">
        <v>39</v>
      </c>
      <c r="AH14" t="s">
        <v>39</v>
      </c>
      <c r="AI14" t="s">
        <v>39</v>
      </c>
      <c r="AJ14" t="s">
        <v>39</v>
      </c>
    </row>
    <row r="15" spans="1:36" x14ac:dyDescent="0.25">
      <c r="A15">
        <v>15</v>
      </c>
      <c r="B15" s="1">
        <v>46114.372129629599</v>
      </c>
      <c r="C15" s="1">
        <v>46115.027222222197</v>
      </c>
      <c r="D15" t="s">
        <v>36</v>
      </c>
      <c r="F15" s="1"/>
      <c r="G15" t="s">
        <v>170</v>
      </c>
      <c r="H15" t="s">
        <v>64</v>
      </c>
      <c r="I15" t="s">
        <v>38</v>
      </c>
      <c r="J15" t="s">
        <v>38</v>
      </c>
      <c r="K15" t="s">
        <v>38</v>
      </c>
      <c r="L15" t="s">
        <v>39</v>
      </c>
      <c r="M15" t="s">
        <v>138</v>
      </c>
      <c r="O15" t="s">
        <v>38</v>
      </c>
      <c r="P15" t="s">
        <v>38</v>
      </c>
      <c r="Q15" t="s">
        <v>38</v>
      </c>
      <c r="R15" t="s">
        <v>39</v>
      </c>
      <c r="S15" t="s">
        <v>139</v>
      </c>
      <c r="T15" t="s">
        <v>140</v>
      </c>
      <c r="U15" t="s">
        <v>38</v>
      </c>
      <c r="V15" t="s">
        <v>38</v>
      </c>
      <c r="W15" t="s">
        <v>38</v>
      </c>
      <c r="X15" t="s">
        <v>38</v>
      </c>
      <c r="Y15" t="s">
        <v>141</v>
      </c>
      <c r="AA15" t="s">
        <v>38</v>
      </c>
      <c r="AB15" t="s">
        <v>63</v>
      </c>
      <c r="AC15" t="s">
        <v>63</v>
      </c>
      <c r="AD15" t="s">
        <v>38</v>
      </c>
      <c r="AE15" t="s">
        <v>142</v>
      </c>
      <c r="AF15" t="s">
        <v>143</v>
      </c>
      <c r="AG15" t="s">
        <v>38</v>
      </c>
      <c r="AH15" t="s">
        <v>38</v>
      </c>
      <c r="AI15" t="s">
        <v>63</v>
      </c>
      <c r="AJ15" t="s">
        <v>38</v>
      </c>
    </row>
    <row r="16" spans="1:36" x14ac:dyDescent="0.25">
      <c r="A16">
        <v>16</v>
      </c>
      <c r="B16" s="1">
        <v>46115.463402777801</v>
      </c>
      <c r="C16" s="1">
        <v>46115.506226851903</v>
      </c>
      <c r="D16" t="s">
        <v>36</v>
      </c>
      <c r="F16" s="1"/>
      <c r="G16" t="s">
        <v>170</v>
      </c>
      <c r="H16" t="s">
        <v>64</v>
      </c>
      <c r="I16" t="s">
        <v>38</v>
      </c>
      <c r="J16" t="s">
        <v>39</v>
      </c>
      <c r="K16" t="s">
        <v>39</v>
      </c>
      <c r="L16" t="s">
        <v>39</v>
      </c>
      <c r="M16" t="s">
        <v>144</v>
      </c>
      <c r="O16" t="s">
        <v>39</v>
      </c>
      <c r="P16" t="s">
        <v>38</v>
      </c>
      <c r="Q16" t="s">
        <v>39</v>
      </c>
      <c r="R16" t="s">
        <v>39</v>
      </c>
      <c r="S16" t="s">
        <v>145</v>
      </c>
      <c r="U16" t="s">
        <v>39</v>
      </c>
      <c r="V16" t="s">
        <v>39</v>
      </c>
      <c r="W16" t="s">
        <v>39</v>
      </c>
      <c r="X16" t="s">
        <v>39</v>
      </c>
      <c r="Y16" t="s">
        <v>146</v>
      </c>
      <c r="AA16" t="s">
        <v>39</v>
      </c>
      <c r="AB16" t="s">
        <v>39</v>
      </c>
      <c r="AC16" t="s">
        <v>39</v>
      </c>
      <c r="AD16" t="s">
        <v>39</v>
      </c>
      <c r="AE16" t="s">
        <v>147</v>
      </c>
      <c r="AG16" t="s">
        <v>38</v>
      </c>
      <c r="AH16" t="s">
        <v>39</v>
      </c>
      <c r="AI16" t="s">
        <v>39</v>
      </c>
      <c r="AJ16" t="s">
        <v>39</v>
      </c>
    </row>
    <row r="17" spans="1:37" x14ac:dyDescent="0.25">
      <c r="A17">
        <v>17</v>
      </c>
      <c r="B17" s="1">
        <v>46115.876539351797</v>
      </c>
      <c r="C17" s="1">
        <v>46115.886423611097</v>
      </c>
      <c r="D17" t="s">
        <v>36</v>
      </c>
      <c r="F17" s="1"/>
      <c r="G17" t="s">
        <v>170</v>
      </c>
      <c r="H17" t="s">
        <v>47</v>
      </c>
      <c r="I17" t="s">
        <v>39</v>
      </c>
      <c r="J17" t="s">
        <v>38</v>
      </c>
      <c r="K17" t="s">
        <v>63</v>
      </c>
      <c r="L17" t="s">
        <v>38</v>
      </c>
      <c r="M17" t="s">
        <v>148</v>
      </c>
      <c r="N17" t="s">
        <v>149</v>
      </c>
      <c r="O17" t="s">
        <v>38</v>
      </c>
      <c r="P17" t="s">
        <v>38</v>
      </c>
      <c r="Q17" t="s">
        <v>38</v>
      </c>
      <c r="R17" t="s">
        <v>38</v>
      </c>
      <c r="S17" t="s">
        <v>150</v>
      </c>
      <c r="T17" t="s">
        <v>151</v>
      </c>
      <c r="U17" t="s">
        <v>39</v>
      </c>
      <c r="V17" t="s">
        <v>38</v>
      </c>
      <c r="W17" t="s">
        <v>63</v>
      </c>
      <c r="X17" t="s">
        <v>38</v>
      </c>
      <c r="Y17" t="s">
        <v>152</v>
      </c>
      <c r="Z17" t="s">
        <v>153</v>
      </c>
      <c r="AA17" t="s">
        <v>38</v>
      </c>
      <c r="AB17" t="s">
        <v>39</v>
      </c>
      <c r="AC17" t="s">
        <v>38</v>
      </c>
      <c r="AD17" t="s">
        <v>38</v>
      </c>
      <c r="AE17" t="s">
        <v>154</v>
      </c>
      <c r="AG17" t="s">
        <v>39</v>
      </c>
      <c r="AH17" t="s">
        <v>39</v>
      </c>
      <c r="AI17" t="s">
        <v>39</v>
      </c>
      <c r="AJ17" t="s">
        <v>39</v>
      </c>
    </row>
    <row r="18" spans="1:37" x14ac:dyDescent="0.25">
      <c r="A18">
        <v>18</v>
      </c>
      <c r="B18" s="1">
        <v>46116.182951388902</v>
      </c>
      <c r="C18" s="1">
        <v>46116.187337962998</v>
      </c>
      <c r="D18" t="s">
        <v>36</v>
      </c>
      <c r="F18" s="1"/>
      <c r="G18" t="s">
        <v>170</v>
      </c>
      <c r="H18" t="s">
        <v>155</v>
      </c>
      <c r="I18" t="s">
        <v>39</v>
      </c>
      <c r="J18" t="s">
        <v>39</v>
      </c>
      <c r="K18" t="s">
        <v>39</v>
      </c>
      <c r="L18" t="s">
        <v>38</v>
      </c>
      <c r="M18" t="s">
        <v>156</v>
      </c>
      <c r="N18" t="s">
        <v>157</v>
      </c>
      <c r="O18" t="s">
        <v>38</v>
      </c>
      <c r="P18" t="s">
        <v>39</v>
      </c>
      <c r="Q18" t="s">
        <v>39</v>
      </c>
      <c r="R18" t="s">
        <v>38</v>
      </c>
      <c r="S18" t="s">
        <v>158</v>
      </c>
      <c r="U18" t="s">
        <v>38</v>
      </c>
      <c r="V18" t="s">
        <v>39</v>
      </c>
      <c r="W18" t="s">
        <v>39</v>
      </c>
      <c r="X18" t="s">
        <v>38</v>
      </c>
      <c r="Y18" t="s">
        <v>159</v>
      </c>
      <c r="Z18" t="s">
        <v>160</v>
      </c>
      <c r="AA18" t="s">
        <v>39</v>
      </c>
      <c r="AB18" t="s">
        <v>39</v>
      </c>
      <c r="AC18" t="s">
        <v>39</v>
      </c>
      <c r="AD18" t="s">
        <v>39</v>
      </c>
      <c r="AE18" t="s">
        <v>161</v>
      </c>
      <c r="AG18" t="s">
        <v>39</v>
      </c>
      <c r="AH18" t="s">
        <v>38</v>
      </c>
      <c r="AI18" t="s">
        <v>39</v>
      </c>
      <c r="AJ18" t="s">
        <v>39</v>
      </c>
    </row>
    <row r="19" spans="1:37" ht="15.75" thickBot="1" x14ac:dyDescent="0.3">
      <c r="A19">
        <v>19</v>
      </c>
      <c r="B19" s="1">
        <v>46117.929247685199</v>
      </c>
      <c r="C19" s="1">
        <v>46117.934826388897</v>
      </c>
      <c r="D19" t="s">
        <v>36</v>
      </c>
      <c r="F19" s="1"/>
      <c r="G19" t="s">
        <v>170</v>
      </c>
      <c r="H19" t="s">
        <v>64</v>
      </c>
      <c r="I19" t="s">
        <v>39</v>
      </c>
      <c r="J19" t="s">
        <v>38</v>
      </c>
      <c r="K19" t="s">
        <v>38</v>
      </c>
      <c r="L19" t="s">
        <v>38</v>
      </c>
      <c r="M19" t="s">
        <v>162</v>
      </c>
      <c r="N19" t="s">
        <v>163</v>
      </c>
      <c r="O19" t="s">
        <v>38</v>
      </c>
      <c r="P19" t="s">
        <v>38</v>
      </c>
      <c r="Q19" t="s">
        <v>38</v>
      </c>
      <c r="R19" t="s">
        <v>38</v>
      </c>
      <c r="S19" t="s">
        <v>164</v>
      </c>
      <c r="T19" t="s">
        <v>165</v>
      </c>
      <c r="U19" t="s">
        <v>38</v>
      </c>
      <c r="V19" t="s">
        <v>38</v>
      </c>
      <c r="W19" t="s">
        <v>38</v>
      </c>
      <c r="X19" t="s">
        <v>38</v>
      </c>
      <c r="Y19" t="s">
        <v>166</v>
      </c>
      <c r="Z19" t="s">
        <v>167</v>
      </c>
      <c r="AA19" t="s">
        <v>63</v>
      </c>
      <c r="AB19" t="s">
        <v>63</v>
      </c>
      <c r="AC19" t="s">
        <v>63</v>
      </c>
      <c r="AD19" t="s">
        <v>63</v>
      </c>
      <c r="AE19" t="s">
        <v>168</v>
      </c>
      <c r="AF19" t="s">
        <v>169</v>
      </c>
      <c r="AG19" t="s">
        <v>63</v>
      </c>
      <c r="AH19" t="s">
        <v>63</v>
      </c>
      <c r="AI19" t="s">
        <v>63</v>
      </c>
      <c r="AJ19" t="s">
        <v>63</v>
      </c>
    </row>
    <row r="20" spans="1:37" ht="15.75" thickBot="1" x14ac:dyDescent="0.3">
      <c r="AK20" s="5" t="s">
        <v>172</v>
      </c>
    </row>
    <row r="21" spans="1:37" x14ac:dyDescent="0.25">
      <c r="H21" s="12" t="s">
        <v>39</v>
      </c>
      <c r="I21" s="6">
        <f>ROUND(COUNTIF(Table1[Role definition usefulness: The role definition elements (e.g., responsibilities, key systems, competencies) would help organizations clearly define Security Engineering roles.], $H21)/18, 3)</f>
        <v>0.5</v>
      </c>
      <c r="J21" s="6">
        <f>ROUND(COUNTIF(Table1[Decision boundaries: The Traffic Light Model for capability boundaries (Green/Yellow/Red) would help organizations clearly communicate what tasks a new hire can perform independently versus with s...], $H21)/18, 3)</f>
        <v>0.55600000000000005</v>
      </c>
      <c r="K21" s="6">
        <f>ROUND(COUNTIF(Table1[Milestone expectations: The 30/60/90-day milestones would help organizations set clear expectations for early performance and progress.], $H21)/18, 3)</f>
        <v>0.77800000000000002</v>
      </c>
      <c r="L21" s="6">
        <f>ROUND(COUNTIF(Table1[Reduction in ambiguity: Overall, this framework would reduce ambiguity about what a Security Engineer is expected to do during their first 90 days.], $H21)/18, 3)</f>
        <v>0.55600000000000005</v>
      </c>
      <c r="M21" s="6"/>
      <c r="N21" s="6"/>
      <c r="O21" s="6">
        <f>ROUND(COUNTIF(Table1[Early safe tasks: The Traffic Light Model for capability boundaries (Green/Yellow/Red) would help organizations assign early work that is both safe and confidence building.], $H21)/18, 3)</f>
        <v>0.72199999999999998</v>
      </c>
      <c r="P21" s="6">
        <f>ROUND(COUNTIF(Table1[Access and provisioning: The access and system provisioning guidance would help organizations reduce delays and confusion in getting new hires the tools they need to start contributing.], $H21)/18, 3)</f>
        <v>0.72199999999999998</v>
      </c>
      <c r="Q21" s="6">
        <f>ROUND(COUNTIF(Table1[Policy and governance grounding: The policy and compliance training structure would help organizations prepare new hires to make decisions that align with governance and audit expectations.], $H21)/18, 3)</f>
        <v>0.5</v>
      </c>
      <c r="R21" s="6">
        <f>ROUND(COUNTIF(Table1[Escalation and decision authority: The decision authority and escalation boundaries would help organizations teach new hires when to act independently and when to escalate.], $H21)/18, 3)</f>
        <v>0.5</v>
      </c>
      <c r="S21" s="6"/>
      <c r="T21" s="6"/>
      <c r="U21" s="6">
        <f>ROUND(COUNTIF(Table1[Reduced ramp-up friction:  This framework would reduce common onboarding friction points (e.g., chasing access, unclear next steps).], $H21)/18, 3)</f>
        <v>0.66700000000000004</v>
      </c>
      <c r="V21" s="6">
        <f>ROUND(COUNTIF(Table1[Structured sequencing: The way activities are sequenced (pre-arrival, first week, 30/60/90-days) would help organizations create a smoother, more predictable onboarding experience.], $H21)/18, 3)</f>
        <v>0.77800000000000002</v>
      </c>
      <c r="W21" s="6">
        <f>ROUND(COUNTIF(Table1[Use of templates: The templates and Traffic Light Model for capability boundaries (Green/Yellow/Red) would help organizations standardize onboarding and reduce ad hoc work.], $H21)/18, 3)</f>
        <v>0.5</v>
      </c>
      <c r="X21" s="6">
        <f>ROUND(COUNTIF(Table1[Reduction of tribal knowledge dependency: The knowledge infrastructure and documentation guidance would reduce reliance on tribal knowledge for getting new hires productive.], $H21)/18, 3)</f>
        <v>0.38900000000000001</v>
      </c>
      <c r="Y21" s="6"/>
      <c r="Z21" s="6"/>
      <c r="AA21" s="6">
        <f>ROUND(COUNTIF(Table1[Impact on time-to-effectiveness: This framework would likely reduce time-to-effectiveness for Security Engineers compared to typical ad hoc onboarding.], $H21)/18, 3)</f>
        <v>0.55600000000000005</v>
      </c>
      <c r="AB21" s="6">
        <f>ROUND(COUNTIF(Table1[Adaptability across organizations: The framework is adaptable enough to be used by different organizations with varying architectures and maturity levels.], $H21)/18, 3)</f>
        <v>0.44400000000000001</v>
      </c>
      <c r="AC21" s="6">
        <f>ROUND(COUNTIF(Table1[Implementation practicality: The level of effort required to implement and maintain this framework is reasonable given the potential benefits.], $H21)/18, 3)</f>
        <v>0.5</v>
      </c>
      <c r="AD21" s="6">
        <f>ROUND(COUNTIF(Table1[Repeatability and governance: The framework provides enough structure for organizations to create a repeatable, governed onboarding process rather than a one-off effort.], $H21)/18, 3)</f>
        <v>0.61099999999999999</v>
      </c>
      <c r="AE21" s="6"/>
      <c r="AF21" s="6"/>
      <c r="AG21" s="6">
        <f>ROUND(COUNTIF(Table1[Conceptual distinction: The framework clearly differentiates between role clarity, task readiness, and onboarding efficiency.], $H21)/18, 3)</f>
        <v>0.61099999999999999</v>
      </c>
      <c r="AH21" s="6">
        <f>ROUND(COUNTIF(Table1[Structural coherence: The sections of the framework build on each other in a logical sequence that supports the onboarding process.], $H21)/18, 3)</f>
        <v>0.61099999999999999</v>
      </c>
      <c r="AI21" s="6">
        <f>ROUND(COUNTIF(Table1[Practical implementation: The framework is realistic for organizations to adopt and maintain.], $H21)/18, 3)</f>
        <v>0.61099999999999999</v>
      </c>
      <c r="AJ21" s="7">
        <f>ROUND(COUNTIF(Table1[Appropriate level of detail: The framework provides enough specificity to be actionable without becoming overly prescriptive.], $H21)/18, 3)</f>
        <v>0.55600000000000005</v>
      </c>
      <c r="AK21" s="2">
        <f>AVERAGE(I21:AJ21)</f>
        <v>0.58340000000000014</v>
      </c>
    </row>
    <row r="22" spans="1:37" x14ac:dyDescent="0.25">
      <c r="H22" s="13" t="s">
        <v>38</v>
      </c>
      <c r="I22" s="8">
        <f>ROUND(COUNTIF(Table1[Role definition usefulness: The role definition elements (e.g., responsibilities, key systems, competencies) would help organizations clearly define Security Engineering roles.], $H22)/18, 3)</f>
        <v>0.5</v>
      </c>
      <c r="J22" s="8">
        <f>ROUND(COUNTIF(Table1[Decision boundaries: The Traffic Light Model for capability boundaries (Green/Yellow/Red) would help organizations clearly communicate what tasks a new hire can perform independently versus with s...], $H22)/18, 3)</f>
        <v>0.44400000000000001</v>
      </c>
      <c r="K22" s="8">
        <f>ROUND(COUNTIF(Table1[Milestone expectations: The 30/60/90-day milestones would help organizations set clear expectations for early performance and progress.], $H22)/18, 3)</f>
        <v>0.16700000000000001</v>
      </c>
      <c r="L22" s="8">
        <f>ROUND(COUNTIF(Table1[Reduction in ambiguity: Overall, this framework would reduce ambiguity about what a Security Engineer is expected to do during their first 90 days.], $H22)/18, 3)</f>
        <v>0.38900000000000001</v>
      </c>
      <c r="M22" s="8"/>
      <c r="N22" s="8"/>
      <c r="O22" s="8">
        <f>ROUND(COUNTIF(Table1[Early safe tasks: The Traffic Light Model for capability boundaries (Green/Yellow/Red) would help organizations assign early work that is both safe and confidence building.], $H22)/18, 3)</f>
        <v>0.27800000000000002</v>
      </c>
      <c r="P22" s="8">
        <f>ROUND(COUNTIF(Table1[Access and provisioning: The access and system provisioning guidance would help organizations reduce delays and confusion in getting new hires the tools they need to start contributing.], $H22)/18, 3)</f>
        <v>0.27800000000000002</v>
      </c>
      <c r="Q22" s="8">
        <f>ROUND(COUNTIF(Table1[Policy and governance grounding: The policy and compliance training structure would help organizations prepare new hires to make decisions that align with governance and audit expectations.], $H22)/18, 3)</f>
        <v>0.5</v>
      </c>
      <c r="R22" s="8">
        <f>ROUND(COUNTIF(Table1[Escalation and decision authority: The decision authority and escalation boundaries would help organizations teach new hires when to act independently and when to escalate.], $H22)/18, 3)</f>
        <v>0.5</v>
      </c>
      <c r="S22" s="8"/>
      <c r="T22" s="8"/>
      <c r="U22" s="8">
        <f>ROUND(COUNTIF(Table1[Reduced ramp-up friction:  This framework would reduce common onboarding friction points (e.g., chasing access, unclear next steps).], $H22)/18, 3)</f>
        <v>0.27800000000000002</v>
      </c>
      <c r="V22" s="8">
        <f>ROUND(COUNTIF(Table1[Structured sequencing: The way activities are sequenced (pre-arrival, first week, 30/60/90-days) would help organizations create a smoother, more predictable onboarding experience.], $H22)/18, 3)</f>
        <v>0.222</v>
      </c>
      <c r="W22" s="8">
        <f>ROUND(COUNTIF(Table1[Use of templates: The templates and Traffic Light Model for capability boundaries (Green/Yellow/Red) would help organizations standardize onboarding and reduce ad hoc work.], $H22)/18, 3)</f>
        <v>0.44400000000000001</v>
      </c>
      <c r="X22" s="8">
        <f>ROUND(COUNTIF(Table1[Reduction of tribal knowledge dependency: The knowledge infrastructure and documentation guidance would reduce reliance on tribal knowledge for getting new hires productive.], $H22)/18, 3)</f>
        <v>0.38900000000000001</v>
      </c>
      <c r="Y22" s="8"/>
      <c r="Z22" s="8"/>
      <c r="AA22" s="8">
        <f>ROUND(COUNTIF(Table1[Impact on time-to-effectiveness: This framework would likely reduce time-to-effectiveness for Security Engineers compared to typical ad hoc onboarding.], $H22)/18, 3)</f>
        <v>0.38900000000000001</v>
      </c>
      <c r="AB22" s="8">
        <f>ROUND(COUNTIF(Table1[Adaptability across organizations: The framework is adaptable enough to be used by different organizations with varying architectures and maturity levels.], $H22)/18, 3)</f>
        <v>0.33300000000000002</v>
      </c>
      <c r="AC22" s="8">
        <f>ROUND(COUNTIF(Table1[Implementation practicality: The level of effort required to implement and maintain this framework is reasonable given the potential benefits.], $H22)/18, 3)</f>
        <v>0.27800000000000002</v>
      </c>
      <c r="AD22" s="8">
        <f>ROUND(COUNTIF(Table1[Repeatability and governance: The framework provides enough structure for organizations to create a repeatable, governed onboarding process rather than a one-off effort.], $H22)/18, 3)</f>
        <v>0.27800000000000002</v>
      </c>
      <c r="AE22" s="8"/>
      <c r="AF22" s="8"/>
      <c r="AG22" s="8">
        <f>ROUND(COUNTIF(Table1[Conceptual distinction: The framework clearly differentiates between role clarity, task readiness, and onboarding efficiency.], $H22)/18, 3)</f>
        <v>0.33300000000000002</v>
      </c>
      <c r="AH22" s="8">
        <f>ROUND(COUNTIF(Table1[Structural coherence: The sections of the framework build on each other in a logical sequence that supports the onboarding process.], $H22)/18, 3)</f>
        <v>0.33300000000000002</v>
      </c>
      <c r="AI22" s="8">
        <f>ROUND(COUNTIF(Table1[Practical implementation: The framework is realistic for organizations to adopt and maintain.], $H22)/18, 3)</f>
        <v>0.222</v>
      </c>
      <c r="AJ22" s="9">
        <f>ROUND(COUNTIF(Table1[Appropriate level of detail: The framework provides enough specificity to be actionable without becoming overly prescriptive.], $H22)/18, 3)</f>
        <v>0.27800000000000002</v>
      </c>
      <c r="AK22" s="3">
        <f t="shared" ref="AK22:AK25" si="0">AVERAGE(I22:AJ22)</f>
        <v>0.34165000000000012</v>
      </c>
    </row>
    <row r="23" spans="1:37" x14ac:dyDescent="0.25">
      <c r="H23" s="13" t="s">
        <v>63</v>
      </c>
      <c r="I23" s="8">
        <f>ROUND(COUNTIF(Table1[Role definition usefulness: The role definition elements (e.g., responsibilities, key systems, competencies) would help organizations clearly define Security Engineering roles.], $H23)/18, 3)</f>
        <v>0</v>
      </c>
      <c r="J23" s="8">
        <f>ROUND(COUNTIF(Table1[Decision boundaries: The Traffic Light Model for capability boundaries (Green/Yellow/Red) would help organizations clearly communicate what tasks a new hire can perform independently versus with s...], $H23)/18, 3)</f>
        <v>0</v>
      </c>
      <c r="K23" s="8">
        <f>ROUND(COUNTIF(Table1[Milestone expectations: The 30/60/90-day milestones would help organizations set clear expectations for early performance and progress.], $H23)/18, 3)</f>
        <v>5.6000000000000001E-2</v>
      </c>
      <c r="L23" s="8">
        <f>ROUND(COUNTIF(Table1[Reduction in ambiguity: Overall, this framework would reduce ambiguity about what a Security Engineer is expected to do during their first 90 days.], $H23)/18, 3)</f>
        <v>5.6000000000000001E-2</v>
      </c>
      <c r="M23" s="8"/>
      <c r="N23" s="8"/>
      <c r="O23" s="8">
        <f>ROUND(COUNTIF(Table1[Early safe tasks: The Traffic Light Model for capability boundaries (Green/Yellow/Red) would help organizations assign early work that is both safe and confidence building.], $H23)/18, 3)</f>
        <v>0</v>
      </c>
      <c r="P23" s="8">
        <f>ROUND(COUNTIF(Table1[Access and provisioning: The access and system provisioning guidance would help organizations reduce delays and confusion in getting new hires the tools they need to start contributing.], $H23)/18, 3)</f>
        <v>0</v>
      </c>
      <c r="Q23" s="8">
        <f>ROUND(COUNTIF(Table1[Policy and governance grounding: The policy and compliance training structure would help organizations prepare new hires to make decisions that align with governance and audit expectations.], $H23)/18, 3)</f>
        <v>0</v>
      </c>
      <c r="R23" s="8">
        <f>ROUND(COUNTIF(Table1[Escalation and decision authority: The decision authority and escalation boundaries would help organizations teach new hires when to act independently and when to escalate.], $H23)/18, 3)</f>
        <v>0</v>
      </c>
      <c r="S23" s="8"/>
      <c r="T23" s="8"/>
      <c r="U23" s="8">
        <f>ROUND(COUNTIF(Table1[Reduced ramp-up friction:  This framework would reduce common onboarding friction points (e.g., chasing access, unclear next steps).], $H23)/18, 3)</f>
        <v>5.6000000000000001E-2</v>
      </c>
      <c r="V23" s="8">
        <f>ROUND(COUNTIF(Table1[Structured sequencing: The way activities are sequenced (pre-arrival, first week, 30/60/90-days) would help organizations create a smoother, more predictable onboarding experience.], $H23)/18, 3)</f>
        <v>0</v>
      </c>
      <c r="W23" s="8">
        <f>ROUND(COUNTIF(Table1[Use of templates: The templates and Traffic Light Model for capability boundaries (Green/Yellow/Red) would help organizations standardize onboarding and reduce ad hoc work.], $H23)/18, 3)</f>
        <v>5.6000000000000001E-2</v>
      </c>
      <c r="X23" s="8">
        <f>ROUND(COUNTIF(Table1[Reduction of tribal knowledge dependency: The knowledge infrastructure and documentation guidance would reduce reliance on tribal knowledge for getting new hires productive.], $H23)/18, 3)</f>
        <v>0.222</v>
      </c>
      <c r="Y23" s="8"/>
      <c r="Z23" s="8"/>
      <c r="AA23" s="8">
        <f>ROUND(COUNTIF(Table1[Impact on time-to-effectiveness: This framework would likely reduce time-to-effectiveness for Security Engineers compared to typical ad hoc onboarding.], $H23)/18, 3)</f>
        <v>5.6000000000000001E-2</v>
      </c>
      <c r="AB23" s="8">
        <f>ROUND(COUNTIF(Table1[Adaptability across organizations: The framework is adaptable enough to be used by different organizations with varying architectures and maturity levels.], $H23)/18, 3)</f>
        <v>0.16700000000000001</v>
      </c>
      <c r="AC23" s="8">
        <f>ROUND(COUNTIF(Table1[Implementation practicality: The level of effort required to implement and maintain this framework is reasonable given the potential benefits.], $H23)/18, 3)</f>
        <v>0.222</v>
      </c>
      <c r="AD23" s="8">
        <f>ROUND(COUNTIF(Table1[Repeatability and governance: The framework provides enough structure for organizations to create a repeatable, governed onboarding process rather than a one-off effort.], $H23)/18, 3)</f>
        <v>0.111</v>
      </c>
      <c r="AE23" s="8"/>
      <c r="AF23" s="8"/>
      <c r="AG23" s="8">
        <f>ROUND(COUNTIF(Table1[Conceptual distinction: The framework clearly differentiates between role clarity, task readiness, and onboarding efficiency.], $H23)/18, 3)</f>
        <v>5.6000000000000001E-2</v>
      </c>
      <c r="AH23" s="8">
        <f>ROUND(COUNTIF(Table1[Structural coherence: The sections of the framework build on each other in a logical sequence that supports the onboarding process.], $H23)/18, 3)</f>
        <v>5.6000000000000001E-2</v>
      </c>
      <c r="AI23" s="8">
        <f>ROUND(COUNTIF(Table1[Practical implementation: The framework is realistic for organizations to adopt and maintain.], $H23)/18, 3)</f>
        <v>0.16700000000000001</v>
      </c>
      <c r="AJ23" s="9">
        <f>ROUND(COUNTIF(Table1[Appropriate level of detail: The framework provides enough specificity to be actionable without becoming overly prescriptive.], $H23)/18, 3)</f>
        <v>0.16700000000000001</v>
      </c>
      <c r="AK23" s="3">
        <f t="shared" si="0"/>
        <v>7.2400000000000006E-2</v>
      </c>
    </row>
    <row r="24" spans="1:37" x14ac:dyDescent="0.25">
      <c r="H24" s="13" t="s">
        <v>171</v>
      </c>
      <c r="I24" s="8">
        <f>ROUND(COUNTIF(Table1[Role definition usefulness: The role definition elements (e.g., responsibilities, key systems, competencies) would help organizations clearly define Security Engineering roles.], $H24)/18, 3)</f>
        <v>0</v>
      </c>
      <c r="J24" s="8">
        <f>ROUND(COUNTIF(Table1[Decision boundaries: The Traffic Light Model for capability boundaries (Green/Yellow/Red) would help organizations clearly communicate what tasks a new hire can perform independently versus with s...], $H24)/18, 3)</f>
        <v>0</v>
      </c>
      <c r="K24" s="8">
        <f>ROUND(COUNTIF(Table1[Milestone expectations: The 30/60/90-day milestones would help organizations set clear expectations for early performance and progress.], $H24)/18, 3)</f>
        <v>0</v>
      </c>
      <c r="L24" s="8">
        <f>ROUND(COUNTIF(Table1[Reduction in ambiguity: Overall, this framework would reduce ambiguity about what a Security Engineer is expected to do during their first 90 days.], $H24)/18, 3)</f>
        <v>0</v>
      </c>
      <c r="M24" s="8"/>
      <c r="N24" s="8"/>
      <c r="O24" s="8">
        <f>ROUND(COUNTIF(Table1[Early safe tasks: The Traffic Light Model for capability boundaries (Green/Yellow/Red) would help organizations assign early work that is both safe and confidence building.], $H24)/18, 3)</f>
        <v>0</v>
      </c>
      <c r="P24" s="8">
        <f>ROUND(COUNTIF(Table1[Access and provisioning: The access and system provisioning guidance would help organizations reduce delays and confusion in getting new hires the tools they need to start contributing.], $H24)/18, 3)</f>
        <v>0</v>
      </c>
      <c r="Q24" s="8">
        <f>ROUND(COUNTIF(Table1[Policy and governance grounding: The policy and compliance training structure would help organizations prepare new hires to make decisions that align with governance and audit expectations.], $H24)/18, 3)</f>
        <v>0</v>
      </c>
      <c r="R24" s="8">
        <f>ROUND(COUNTIF(Table1[Escalation and decision authority: The decision authority and escalation boundaries would help organizations teach new hires when to act independently and when to escalate.], $H24)/18, 3)</f>
        <v>0</v>
      </c>
      <c r="S24" s="8"/>
      <c r="T24" s="8"/>
      <c r="U24" s="8">
        <f>ROUND(COUNTIF(Table1[Reduced ramp-up friction:  This framework would reduce common onboarding friction points (e.g., chasing access, unclear next steps).], $H24)/18, 3)</f>
        <v>0</v>
      </c>
      <c r="V24" s="8">
        <f>ROUND(COUNTIF(Table1[Structured sequencing: The way activities are sequenced (pre-arrival, first week, 30/60/90-days) would help organizations create a smoother, more predictable onboarding experience.], $H24)/18, 3)</f>
        <v>0</v>
      </c>
      <c r="W24" s="8">
        <f>ROUND(COUNTIF(Table1[Use of templates: The templates and Traffic Light Model for capability boundaries (Green/Yellow/Red) would help organizations standardize onboarding and reduce ad hoc work.], $H24)/18, 3)</f>
        <v>0</v>
      </c>
      <c r="X24" s="8">
        <f>ROUND(COUNTIF(Table1[Reduction of tribal knowledge dependency: The knowledge infrastructure and documentation guidance would reduce reliance on tribal knowledge for getting new hires productive.], $H24)/18, 3)</f>
        <v>0</v>
      </c>
      <c r="Y24" s="8"/>
      <c r="Z24" s="8"/>
      <c r="AA24" s="8">
        <f>ROUND(COUNTIF(Table1[Impact on time-to-effectiveness: This framework would likely reduce time-to-effectiveness for Security Engineers compared to typical ad hoc onboarding.], $H24)/18, 3)</f>
        <v>0</v>
      </c>
      <c r="AB24" s="8">
        <f>ROUND(COUNTIF(Table1[Adaptability across organizations: The framework is adaptable enough to be used by different organizations with varying architectures and maturity levels.], $H24)/18, 3)</f>
        <v>0</v>
      </c>
      <c r="AC24" s="8">
        <f>ROUND(COUNTIF(Table1[Implementation practicality: The level of effort required to implement and maintain this framework is reasonable given the potential benefits.], $H24)/18, 3)</f>
        <v>0</v>
      </c>
      <c r="AD24" s="8">
        <f>ROUND(COUNTIF(Table1[Repeatability and governance: The framework provides enough structure for organizations to create a repeatable, governed onboarding process rather than a one-off effort.], $H24)/18, 3)</f>
        <v>0</v>
      </c>
      <c r="AE24" s="8"/>
      <c r="AF24" s="8"/>
      <c r="AG24" s="8">
        <f>ROUND(COUNTIF(Table1[Conceptual distinction: The framework clearly differentiates between role clarity, task readiness, and onboarding efficiency.], $H24)/18, 3)</f>
        <v>0</v>
      </c>
      <c r="AH24" s="8">
        <f>ROUND(COUNTIF(Table1[Structural coherence: The sections of the framework build on each other in a logical sequence that supports the onboarding process.], $H24)/18, 3)</f>
        <v>0</v>
      </c>
      <c r="AI24" s="8">
        <f>ROUND(COUNTIF(Table1[Practical implementation: The framework is realistic for organizations to adopt and maintain.], $H24)/18, 3)</f>
        <v>0</v>
      </c>
      <c r="AJ24" s="9">
        <f>ROUND(COUNTIF(Table1[Appropriate level of detail: The framework provides enough specificity to be actionable without becoming overly prescriptive.], $H24)/18, 3)</f>
        <v>0</v>
      </c>
      <c r="AK24" s="3">
        <f t="shared" si="0"/>
        <v>0</v>
      </c>
    </row>
    <row r="25" spans="1:37" ht="15.75" thickBot="1" x14ac:dyDescent="0.3">
      <c r="H25" s="14" t="s">
        <v>102</v>
      </c>
      <c r="I25" s="10">
        <f>ROUND(COUNTIF(Table1[Role definition usefulness: The role definition elements (e.g., responsibilities, key systems, competencies) would help organizations clearly define Security Engineering roles.], $H25)/18, 3)</f>
        <v>0</v>
      </c>
      <c r="J25" s="10">
        <f>ROUND(COUNTIF(Table1[Decision boundaries: The Traffic Light Model for capability boundaries (Green/Yellow/Red) would help organizations clearly communicate what tasks a new hire can perform independently versus with s...], $H25)/18, 3)</f>
        <v>0</v>
      </c>
      <c r="K25" s="10">
        <f>ROUND(COUNTIF(Table1[Milestone expectations: The 30/60/90-day milestones would help organizations set clear expectations for early performance and progress.], $H25)/18, 3)</f>
        <v>0</v>
      </c>
      <c r="L25" s="10">
        <f>ROUND(COUNTIF(Table1[Reduction in ambiguity: Overall, this framework would reduce ambiguity about what a Security Engineer is expected to do during their first 90 days.], $H25)/18, 3)</f>
        <v>0</v>
      </c>
      <c r="M25" s="10"/>
      <c r="N25" s="10"/>
      <c r="O25" s="10">
        <f>ROUND(COUNTIF(Table1[Early safe tasks: The Traffic Light Model for capability boundaries (Green/Yellow/Red) would help organizations assign early work that is both safe and confidence building.], $H25)/18, 3)</f>
        <v>0</v>
      </c>
      <c r="P25" s="10">
        <f>ROUND(COUNTIF(Table1[Access and provisioning: The access and system provisioning guidance would help organizations reduce delays and confusion in getting new hires the tools they need to start contributing.], $H25)/18, 3)</f>
        <v>0</v>
      </c>
      <c r="Q25" s="10">
        <f>ROUND(COUNTIF(Table1[Policy and governance grounding: The policy and compliance training structure would help organizations prepare new hires to make decisions that align with governance and audit expectations.], $H25)/18, 3)</f>
        <v>0</v>
      </c>
      <c r="R25" s="10">
        <f>ROUND(COUNTIF(Table1[Escalation and decision authority: The decision authority and escalation boundaries would help organizations teach new hires when to act independently and when to escalate.], $H25)/18, 3)</f>
        <v>0</v>
      </c>
      <c r="S25" s="10"/>
      <c r="T25" s="10"/>
      <c r="U25" s="10">
        <f>ROUND(COUNTIF(Table1[Reduced ramp-up friction:  This framework would reduce common onboarding friction points (e.g., chasing access, unclear next steps).], $H25)/18, 3)</f>
        <v>0</v>
      </c>
      <c r="V25" s="10">
        <f>ROUND(COUNTIF(Table1[Structured sequencing: The way activities are sequenced (pre-arrival, first week, 30/60/90-days) would help organizations create a smoother, more predictable onboarding experience.], $H25)/18, 3)</f>
        <v>0</v>
      </c>
      <c r="W25" s="10">
        <f>ROUND(COUNTIF(Table1[Use of templates: The templates and Traffic Light Model for capability boundaries (Green/Yellow/Red) would help organizations standardize onboarding and reduce ad hoc work.], $H25)/18, 3)</f>
        <v>0</v>
      </c>
      <c r="X25" s="10">
        <f>ROUND(COUNTIF(Table1[Reduction of tribal knowledge dependency: The knowledge infrastructure and documentation guidance would reduce reliance on tribal knowledge for getting new hires productive.], $H25)/18, 3)</f>
        <v>0</v>
      </c>
      <c r="Y25" s="10"/>
      <c r="Z25" s="10"/>
      <c r="AA25" s="10">
        <f>ROUND(COUNTIF(Table1[Impact on time-to-effectiveness: This framework would likely reduce time-to-effectiveness for Security Engineers compared to typical ad hoc onboarding.], $H25)/18, 3)</f>
        <v>0</v>
      </c>
      <c r="AB25" s="10">
        <f>ROUND(COUNTIF(Table1[Adaptability across organizations: The framework is adaptable enough to be used by different organizations with varying architectures and maturity levels.], $H25)/18, 3)</f>
        <v>5.6000000000000001E-2</v>
      </c>
      <c r="AC25" s="10">
        <f>ROUND(COUNTIF(Table1[Implementation practicality: The level of effort required to implement and maintain this framework is reasonable given the potential benefits.], $H25)/18, 3)</f>
        <v>0</v>
      </c>
      <c r="AD25" s="10">
        <f>ROUND(COUNTIF(Table1[Repeatability and governance: The framework provides enough structure for organizations to create a repeatable, governed onboarding process rather than a one-off effort.], $H25)/18, 3)</f>
        <v>0</v>
      </c>
      <c r="AE25" s="10"/>
      <c r="AF25" s="10"/>
      <c r="AG25" s="10">
        <f>ROUND(COUNTIF(Table1[Conceptual distinction: The framework clearly differentiates between role clarity, task readiness, and onboarding efficiency.], $H25)/18, 3)</f>
        <v>0</v>
      </c>
      <c r="AH25" s="10">
        <f>ROUND(COUNTIF(Table1[Structural coherence: The sections of the framework build on each other in a logical sequence that supports the onboarding process.], $H25)/18, 3)</f>
        <v>0</v>
      </c>
      <c r="AI25" s="10">
        <f>ROUND(COUNTIF(Table1[Practical implementation: The framework is realistic for organizations to adopt and maintain.], $H25)/18, 3)</f>
        <v>0</v>
      </c>
      <c r="AJ25" s="11">
        <f>ROUND(COUNTIF(Table1[Appropriate level of detail: The framework provides enough specificity to be actionable without becoming overly prescriptive.], $H25)/18, 3)</f>
        <v>0</v>
      </c>
      <c r="AK25" s="4">
        <f t="shared" si="0"/>
        <v>2.8E-3</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Dustin Dishner</cp:lastModifiedBy>
  <dcterms:created xsi:type="dcterms:W3CDTF">2026-04-27T03:21:01Z</dcterms:created>
  <dcterms:modified xsi:type="dcterms:W3CDTF">2026-04-27T03:38:00Z</dcterms:modified>
</cp:coreProperties>
</file>